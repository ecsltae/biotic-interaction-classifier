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mc:AlternateContent xmlns:mc="http://schemas.openxmlformats.org/markup-compatibility/2006">
    <mc:Choice Requires="x15">
      <x15ac:absPath xmlns:x15ac="http://schemas.microsoft.com/office/spreadsheetml/2010/11/ac" url="https://hessoit.sharepoint.com/sites/Socialmedia607/Documents partages/General/"/>
    </mc:Choice>
  </mc:AlternateContent>
  <xr:revisionPtr revIDLastSave="7375" documentId="101_{E1938B12-73C0-4F8E-BB99-1F0096687564}" xr6:coauthVersionLast="47" xr6:coauthVersionMax="47" xr10:uidLastSave="{34B5E893-5DB5-4615-A7BB-EA268E4787EF}"/>
  <bookViews>
    <workbookView xWindow="-110" yWindow="-110" windowWidth="19420" windowHeight="10300" firstSheet="2" activeTab="3" xr2:uid="{5A25E1A4-9672-41C9-A384-E9B253672595}"/>
  </bookViews>
  <sheets>
    <sheet name="Read Me" sheetId="12" r:id="rId1"/>
    <sheet name="Disease_Species" sheetId="13" r:id="rId2"/>
    <sheet name="List of Abstracts" sheetId="7" r:id="rId3"/>
    <sheet name="Abstract - All" sheetId="10" r:id="rId4"/>
    <sheet name="Sentence - All" sheetId="9" r:id="rId5"/>
    <sheet name="Questions" sheetId="23" r:id="rId6"/>
    <sheet name="Abstract - DA" sheetId="5" r:id="rId7"/>
    <sheet name="Sentence - DA" sheetId="14" r:id="rId8"/>
    <sheet name="Abstract - Maissa" sheetId="4" r:id="rId9"/>
    <sheet name="Sentence-Maïssa" sheetId="11" r:id="rId10"/>
    <sheet name="Abstract - Linda" sheetId="1" r:id="rId11"/>
    <sheet name="Sentence - LK" sheetId="15"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4" i="7" l="1"/>
  <c r="H398" i="10"/>
  <c r="H403" i="10" s="1"/>
  <c r="H396" i="10"/>
  <c r="H402" i="10" s="1"/>
  <c r="H399" i="10"/>
  <c r="H407" i="10" s="1"/>
  <c r="H397" i="10"/>
  <c r="H394" i="10"/>
  <c r="H401" i="10" s="1"/>
  <c r="G394" i="10"/>
  <c r="H395" i="10"/>
  <c r="H393" i="10"/>
  <c r="H392" i="10"/>
  <c r="G398" i="10"/>
  <c r="G399" i="10"/>
  <c r="E407" i="10" s="1"/>
  <c r="G29" i="10"/>
  <c r="G30" i="10"/>
  <c r="G31" i="10"/>
  <c r="G32" i="10"/>
  <c r="G33" i="10"/>
  <c r="G35" i="10"/>
  <c r="G36" i="10"/>
  <c r="G37" i="10"/>
  <c r="G39" i="10"/>
  <c r="G40" i="10"/>
  <c r="G41" i="10"/>
  <c r="G42" i="10"/>
  <c r="G43" i="10"/>
  <c r="G45" i="10"/>
  <c r="G47" i="10"/>
  <c r="G48" i="10"/>
  <c r="G49" i="10"/>
  <c r="G50" i="10"/>
  <c r="G51" i="10"/>
  <c r="G53" i="10"/>
  <c r="G54" i="10"/>
  <c r="G55" i="10"/>
  <c r="G56" i="10"/>
  <c r="G57" i="10"/>
  <c r="G58" i="10"/>
  <c r="G59" i="10"/>
  <c r="G60" i="10"/>
  <c r="G61" i="10"/>
  <c r="G62" i="10"/>
  <c r="G63" i="10"/>
  <c r="G65" i="10"/>
  <c r="G66" i="10"/>
  <c r="G67" i="10"/>
  <c r="G68" i="10"/>
  <c r="G69" i="10"/>
  <c r="G70" i="10"/>
  <c r="G71" i="10"/>
  <c r="G72" i="10"/>
  <c r="G73" i="10"/>
  <c r="G75" i="10"/>
  <c r="G76" i="10"/>
  <c r="G77" i="10"/>
  <c r="G78" i="10"/>
  <c r="G79" i="10"/>
  <c r="G80" i="10"/>
  <c r="G81" i="10"/>
  <c r="G83" i="10"/>
  <c r="G84" i="10"/>
  <c r="G85" i="10"/>
  <c r="G86" i="10"/>
  <c r="G87" i="10"/>
  <c r="G88" i="10"/>
  <c r="G89" i="10"/>
  <c r="G90" i="10"/>
  <c r="G91" i="10"/>
  <c r="G92" i="10"/>
  <c r="G93" i="10"/>
  <c r="G95" i="10"/>
  <c r="G96" i="10"/>
  <c r="G97" i="10"/>
  <c r="G98" i="10"/>
  <c r="G100" i="10"/>
  <c r="G101" i="10"/>
  <c r="G102" i="10"/>
  <c r="G104" i="10"/>
  <c r="G105" i="10"/>
  <c r="G106" i="10"/>
  <c r="G107" i="10"/>
  <c r="G108" i="10"/>
  <c r="G110" i="10"/>
  <c r="G111" i="10"/>
  <c r="G112" i="10"/>
  <c r="G113" i="10"/>
  <c r="G114" i="10"/>
  <c r="G115" i="10"/>
  <c r="G117" i="10"/>
  <c r="G118" i="10"/>
  <c r="G119" i="10"/>
  <c r="G120" i="10"/>
  <c r="G121" i="10"/>
  <c r="G122" i="10"/>
  <c r="G123" i="10"/>
  <c r="G124" i="10"/>
  <c r="G125" i="10"/>
  <c r="G127" i="10"/>
  <c r="G128" i="10"/>
  <c r="G129" i="10"/>
  <c r="G131" i="10"/>
  <c r="G132" i="10"/>
  <c r="G133" i="10"/>
  <c r="G134" i="10"/>
  <c r="G135" i="10"/>
  <c r="G136" i="10"/>
  <c r="G138" i="10"/>
  <c r="G140" i="10"/>
  <c r="G141" i="10"/>
  <c r="G142" i="10"/>
  <c r="G144" i="10"/>
  <c r="G145" i="10"/>
  <c r="G146" i="10"/>
  <c r="G147" i="10"/>
  <c r="G148" i="10"/>
  <c r="G149" i="10"/>
  <c r="G150" i="10"/>
  <c r="G151" i="10"/>
  <c r="G152" i="10"/>
  <c r="G153" i="10"/>
  <c r="G154" i="10"/>
  <c r="G156" i="10"/>
  <c r="G157" i="10"/>
  <c r="G158" i="10"/>
  <c r="G159" i="10"/>
  <c r="G160" i="10"/>
  <c r="G161" i="10"/>
  <c r="G162" i="10"/>
  <c r="G163" i="10"/>
  <c r="G164" i="10"/>
  <c r="G165" i="10"/>
  <c r="G166" i="10"/>
  <c r="G167" i="10"/>
  <c r="G168" i="10"/>
  <c r="G169" i="10"/>
  <c r="G170" i="10"/>
  <c r="G171" i="10"/>
  <c r="G172" i="10"/>
  <c r="G173" i="10"/>
  <c r="G175" i="10"/>
  <c r="G176" i="10"/>
  <c r="G177" i="10"/>
  <c r="G178" i="10"/>
  <c r="G179" i="10"/>
  <c r="G180" i="10"/>
  <c r="G181" i="10"/>
  <c r="G182" i="10"/>
  <c r="G183" i="10"/>
  <c r="G184" i="10"/>
  <c r="G185" i="10"/>
  <c r="G186" i="10"/>
  <c r="G187" i="10"/>
  <c r="G188" i="10"/>
  <c r="G190" i="10"/>
  <c r="G191" i="10"/>
  <c r="G192" i="10"/>
  <c r="G193" i="10"/>
  <c r="G194" i="10"/>
  <c r="G195" i="10"/>
  <c r="G197" i="10"/>
  <c r="G198" i="10"/>
  <c r="G199" i="10"/>
  <c r="G200" i="10"/>
  <c r="G201" i="10"/>
  <c r="G202" i="10"/>
  <c r="G203" i="10"/>
  <c r="G204" i="10"/>
  <c r="G205" i="10"/>
  <c r="G206" i="10"/>
  <c r="G208" i="10"/>
  <c r="G209" i="10"/>
  <c r="G210" i="10"/>
  <c r="G211" i="10"/>
  <c r="G213" i="10"/>
  <c r="G214" i="10"/>
  <c r="G215" i="10"/>
  <c r="G216" i="10"/>
  <c r="G218" i="10"/>
  <c r="G219" i="10"/>
  <c r="G220" i="10"/>
  <c r="G221" i="10"/>
  <c r="G222" i="10"/>
  <c r="G223" i="10"/>
  <c r="G224" i="10"/>
  <c r="G225" i="10"/>
  <c r="G226" i="10"/>
  <c r="G227" i="10"/>
  <c r="G229" i="10"/>
  <c r="G230" i="10"/>
  <c r="G231" i="10"/>
  <c r="G232" i="10"/>
  <c r="G233" i="10"/>
  <c r="G234" i="10"/>
  <c r="G235" i="10"/>
  <c r="G237" i="10"/>
  <c r="G238" i="10"/>
  <c r="G239" i="10"/>
  <c r="G240" i="10"/>
  <c r="G242" i="10"/>
  <c r="G243" i="10"/>
  <c r="G244" i="10"/>
  <c r="G245" i="10"/>
  <c r="G246" i="10"/>
  <c r="G247" i="10"/>
  <c r="G248" i="10"/>
  <c r="G250" i="10"/>
  <c r="G251" i="10"/>
  <c r="G252" i="10"/>
  <c r="G253" i="10"/>
  <c r="G254" i="10"/>
  <c r="G255" i="10"/>
  <c r="G256" i="10"/>
  <c r="G258" i="10"/>
  <c r="G259" i="10"/>
  <c r="G260" i="10"/>
  <c r="G261" i="10"/>
  <c r="G262" i="10"/>
  <c r="G263" i="10"/>
  <c r="G264" i="10"/>
  <c r="G265" i="10"/>
  <c r="G266" i="10"/>
  <c r="G267" i="10"/>
  <c r="G269" i="10"/>
  <c r="G270" i="10"/>
  <c r="G271" i="10"/>
  <c r="G272" i="10"/>
  <c r="G273" i="10"/>
  <c r="G274" i="10"/>
  <c r="G275" i="10"/>
  <c r="G276" i="10"/>
  <c r="G277" i="10"/>
  <c r="G278" i="10"/>
  <c r="G280" i="10"/>
  <c r="G281" i="10"/>
  <c r="G282" i="10"/>
  <c r="G283" i="10"/>
  <c r="G284" i="10"/>
  <c r="G285" i="10"/>
  <c r="G286" i="10"/>
  <c r="G288" i="10"/>
  <c r="G289" i="10"/>
  <c r="G290" i="10"/>
  <c r="G291" i="10"/>
  <c r="G292" i="10"/>
  <c r="G293" i="10"/>
  <c r="G295" i="10"/>
  <c r="G296" i="10"/>
  <c r="G297" i="10"/>
  <c r="G298" i="10"/>
  <c r="G299" i="10"/>
  <c r="G300" i="10"/>
  <c r="G302" i="10"/>
  <c r="G303" i="10"/>
  <c r="G304" i="10"/>
  <c r="G305" i="10"/>
  <c r="G306" i="10"/>
  <c r="G307" i="10"/>
  <c r="G308" i="10"/>
  <c r="G309" i="10"/>
  <c r="G310" i="10"/>
  <c r="G312" i="10"/>
  <c r="G397" i="10" s="1"/>
  <c r="G313" i="10"/>
  <c r="G314" i="10"/>
  <c r="G315" i="10"/>
  <c r="G316" i="10"/>
  <c r="G317" i="10"/>
  <c r="G318" i="10"/>
  <c r="G319" i="10"/>
  <c r="G320" i="10"/>
  <c r="G321" i="10"/>
  <c r="G322" i="10"/>
  <c r="G323" i="10"/>
  <c r="G324" i="10"/>
  <c r="G325" i="10"/>
  <c r="G326" i="10"/>
  <c r="G327" i="10"/>
  <c r="G329" i="10"/>
  <c r="G330" i="10"/>
  <c r="G331" i="10"/>
  <c r="G332" i="10"/>
  <c r="G333" i="10"/>
  <c r="G334" i="10"/>
  <c r="G335" i="10"/>
  <c r="G337" i="10"/>
  <c r="G338" i="10"/>
  <c r="G339" i="10"/>
  <c r="G340" i="10"/>
  <c r="G341" i="10"/>
  <c r="G342" i="10"/>
  <c r="G343" i="10"/>
  <c r="G344" i="10"/>
  <c r="G345" i="10"/>
  <c r="G346" i="10"/>
  <c r="G347" i="10"/>
  <c r="G349" i="10"/>
  <c r="G350" i="10"/>
  <c r="G351" i="10"/>
  <c r="G352" i="10"/>
  <c r="G353" i="10"/>
  <c r="G355" i="10"/>
  <c r="G356" i="10"/>
  <c r="G358" i="10"/>
  <c r="G359" i="10"/>
  <c r="G360" i="10"/>
  <c r="G361" i="10"/>
  <c r="G362" i="10"/>
  <c r="G363" i="10"/>
  <c r="G364" i="10"/>
  <c r="G366" i="10"/>
  <c r="G367" i="10"/>
  <c r="G368" i="10"/>
  <c r="G369" i="10"/>
  <c r="G370" i="10"/>
  <c r="G372" i="10"/>
  <c r="G373" i="10"/>
  <c r="G374" i="10"/>
  <c r="G375" i="10"/>
  <c r="G376" i="10"/>
  <c r="G377" i="10"/>
  <c r="G379" i="10"/>
  <c r="G380" i="10"/>
  <c r="G382" i="10"/>
  <c r="G383" i="10"/>
  <c r="G384" i="10"/>
  <c r="G385" i="10"/>
  <c r="G386" i="10"/>
  <c r="G387" i="10"/>
  <c r="G389" i="10"/>
  <c r="G11" i="10"/>
  <c r="G12" i="10"/>
  <c r="G13" i="10"/>
  <c r="G14" i="10"/>
  <c r="G15" i="10"/>
  <c r="G16" i="10"/>
  <c r="G17" i="10"/>
  <c r="G18" i="10"/>
  <c r="G19" i="10"/>
  <c r="G20" i="10"/>
  <c r="G21" i="10"/>
  <c r="G22" i="10"/>
  <c r="G23" i="10"/>
  <c r="G24" i="10"/>
  <c r="G25" i="10"/>
  <c r="G27" i="10"/>
  <c r="G28" i="10"/>
  <c r="G5" i="10"/>
  <c r="G6" i="10"/>
  <c r="G392" i="10" s="1"/>
  <c r="G7" i="10"/>
  <c r="G395" i="10" s="1"/>
  <c r="G8" i="10"/>
  <c r="G9" i="10"/>
  <c r="G4" i="10"/>
  <c r="G393" i="10" s="1"/>
  <c r="G396" i="10"/>
  <c r="F394" i="10"/>
  <c r="F401" i="10" s="1"/>
  <c r="F396" i="10"/>
  <c r="F402" i="10" s="1"/>
  <c r="F398" i="10"/>
  <c r="F403" i="10" s="1"/>
  <c r="E394" i="10"/>
  <c r="E401" i="10" s="1"/>
  <c r="E395" i="10"/>
  <c r="F395" i="10"/>
  <c r="E398" i="10"/>
  <c r="E403" i="10" s="1"/>
  <c r="E399" i="10"/>
  <c r="F399" i="10"/>
  <c r="F407" i="10" s="1"/>
  <c r="E396" i="10"/>
  <c r="E402" i="10" s="1"/>
  <c r="E397" i="10"/>
  <c r="F397" i="10"/>
  <c r="E392" i="10"/>
  <c r="E64" i="7"/>
  <c r="E393" i="10"/>
  <c r="F393" i="10"/>
  <c r="F392" i="10"/>
  <c r="B392" i="10"/>
  <c r="A392" i="10"/>
  <c r="F106" i="9"/>
  <c r="F400" i="10" l="1"/>
  <c r="F404" i="10"/>
  <c r="E404" i="10"/>
  <c r="H405" i="10"/>
  <c r="E405" i="10"/>
  <c r="E400" i="10"/>
  <c r="F406" i="10"/>
  <c r="E406" i="10"/>
  <c r="H400" i="10"/>
  <c r="H404" i="10"/>
  <c r="F405" i="10"/>
  <c r="H406" i="10"/>
</calcChain>
</file>

<file path=xl/sharedStrings.xml><?xml version="1.0" encoding="utf-8"?>
<sst xmlns="http://schemas.openxmlformats.org/spreadsheetml/2006/main" count="2583" uniqueCount="926">
  <si>
    <t>READ ME : Working methodology</t>
  </si>
  <si>
    <t>RESEARCH METHODOLOGY</t>
  </si>
  <si>
    <t>Research the articles directly in Sibils</t>
  </si>
  <si>
    <t>Use of keywords (species and disease) in the research, with common term or biogical term if the result are poorless  (example: ticks, lyme or Ixodidae, Lyme borreliosis)</t>
  </si>
  <si>
    <t>If poor result add biotic, vector of, transmission, biotic interaction terms</t>
  </si>
  <si>
    <t>Advanced options: set the date range from 2023-10-01 to 2023-12-31, if poor result expand the range.</t>
  </si>
  <si>
    <t>Select PMC+ articles, to have full text articles</t>
  </si>
  <si>
    <t>Select articles by relevance</t>
  </si>
  <si>
    <t>Select articles by date</t>
  </si>
  <si>
    <t>Select articles with the research term and with biotic interaction in the abstract, if not take the following article</t>
  </si>
  <si>
    <t>(8)</t>
  </si>
  <si>
    <t>If there is no biotic interaction sentence, still fill the tab "List of Abstract", with "Biotic Interaction ? : no and "Done":no (to track abstract with no biotic interaction)</t>
  </si>
  <si>
    <t>STEPS TO FILL THE EXCEL FILL</t>
  </si>
  <si>
    <t>Find a abstract with biotic interaction sentence between two species by relevance and by date</t>
  </si>
  <si>
    <t>Then fill the tab "List of Abstract", don't forget to mention the PMC or PMIDS number and to put the link to the bioC format</t>
  </si>
  <si>
    <t>Do the annotation verification in your personnal tab</t>
  </si>
  <si>
    <t>When you have finish the verification, move it to "Abstract-All", try to have the same vocabularies for the remarks when we find an inconsistency</t>
  </si>
  <si>
    <t>Do the same step 3 and 4 for the biotic interaction sentence</t>
  </si>
  <si>
    <t>Put in yellow the cell "PMIDs or PMC number" in "Abstract All" if the abstract have been checked by a pair</t>
  </si>
  <si>
    <t>ANNOTATION VERIFICATION METHODOLOGY</t>
  </si>
  <si>
    <t>00</t>
  </si>
  <si>
    <t>Mention the PMC or PMIDS number in the first column of "Abstract" tab</t>
  </si>
  <si>
    <t>Open the bioC format file, and go to the tab "Données brutes"</t>
  </si>
  <si>
    <t>As annotations are only verified for abstracts, make sure you are in :"field": "abstract".</t>
  </si>
  <si>
    <t>Then look for annotation which are related to the following terminologies : OTT, ROBIext and ICTV.</t>
  </si>
  <si>
    <t>When you find a related annotation, fill the excel sheet under "Abstract" tab, with the term (concept_form),the  terminology (concept_source) and the code in terminology (concept_id)</t>
  </si>
  <si>
    <t>Count the number of appearance of a annotation, if a term are annoted 4 time, put 4 in the collumn " Nb total annotations"</t>
  </si>
  <si>
    <t xml:space="preserve">To verify the accuraccy of a term, these 3 methods can be combined :  </t>
  </si>
  <si>
    <t>6.1</t>
  </si>
  <si>
    <t>The "preferred_term" should match with the context  of the term in the sentence</t>
  </si>
  <si>
    <t>6.2</t>
  </si>
  <si>
    <t>The term related in the taxonomy should match with context in the sentence</t>
  </si>
  <si>
    <t>6.3</t>
  </si>
  <si>
    <t>Search engines (google) or Wikipedia could be helpful to undersand the different term and linked them to the context.</t>
  </si>
  <si>
    <r>
      <t xml:space="preserve">If the annotation is accurate, fill 1 in </t>
    </r>
    <r>
      <rPr>
        <i/>
        <sz val="10"/>
        <color rgb="FF00B050"/>
        <rFont val="Arial"/>
        <family val="2"/>
        <scheme val="minor"/>
      </rPr>
      <t>True Positive</t>
    </r>
  </si>
  <si>
    <r>
      <t xml:space="preserve">If the annotation is not accurate, fill 1 in </t>
    </r>
    <r>
      <rPr>
        <i/>
        <sz val="10"/>
        <color rgb="FFFF0000"/>
        <rFont val="Arial"/>
        <family val="2"/>
        <scheme val="minor"/>
      </rPr>
      <t>Flase Positive</t>
    </r>
    <r>
      <rPr>
        <i/>
        <sz val="10"/>
        <color rgb="FF000000"/>
        <rFont val="Arial"/>
        <family val="2"/>
        <scheme val="minor"/>
      </rPr>
      <t xml:space="preserve"> and add remarks to explain it</t>
    </r>
  </si>
  <si>
    <t>If the accuracy of the annotation cannot be decided, fill "Questioning annotation" with "X". It will be debated with pairs or during the next meeting.</t>
  </si>
  <si>
    <t>BIOTIC INTERACTION SENTENCE VERIFICATION METHODOLOGY</t>
  </si>
  <si>
    <t>Mention the PMC or PMIDS number in the first column of "Sentence" tab</t>
  </si>
  <si>
    <t>When a sentence in the abstract including a biotic interaction between two species, fill the excel sheet under "Sentence" with the sentence found.</t>
  </si>
  <si>
    <t xml:space="preserve">If possible fill the column Concept 1 (species 1), Biotic term and Concept 2 (species 2) and highlight them in the sentence. </t>
  </si>
  <si>
    <r>
      <t xml:space="preserve">If the biotic interaction are clear, put 1 in </t>
    </r>
    <r>
      <rPr>
        <i/>
        <sz val="10"/>
        <color rgb="FF00B050"/>
        <rFont val="Arial"/>
        <family val="2"/>
        <scheme val="minor"/>
      </rPr>
      <t>True Postive.</t>
    </r>
  </si>
  <si>
    <t>If the biotic interaction are note clear, fill the tab  "Questioning annotation". It will be debated with pairs or during the next meeting.</t>
  </si>
  <si>
    <r>
      <t xml:space="preserve">If after the consensus, there is no biotic interaction, fill 1 in </t>
    </r>
    <r>
      <rPr>
        <i/>
        <sz val="10"/>
        <color rgb="FFFF0000"/>
        <rFont val="Arial"/>
        <family val="2"/>
        <scheme val="minor"/>
      </rPr>
      <t>False Positive</t>
    </r>
  </si>
  <si>
    <t>Add a remarks when a term should or should not be annoted as a species, virus or a bitotic term</t>
  </si>
  <si>
    <t>IMPORTANT INFORMATION</t>
  </si>
  <si>
    <t>Check by a pair</t>
  </si>
  <si>
    <t>Questionning</t>
  </si>
  <si>
    <t>Taxonomy to check</t>
  </si>
  <si>
    <t>ictv, robi, ott</t>
  </si>
  <si>
    <t>N°</t>
  </si>
  <si>
    <t>Disease</t>
  </si>
  <si>
    <t>Remarks</t>
  </si>
  <si>
    <t>Species</t>
  </si>
  <si>
    <t>Verify by</t>
  </si>
  <si>
    <t>Remarks about the Research</t>
  </si>
  <si>
    <t xml:space="preserve">Aspergillosis </t>
  </si>
  <si>
    <t xml:space="preserve">Aves </t>
  </si>
  <si>
    <t>birds</t>
  </si>
  <si>
    <t xml:space="preserve">Brucella abortus </t>
  </si>
  <si>
    <t>Bos taurus</t>
  </si>
  <si>
    <t>cattle</t>
  </si>
  <si>
    <t>DA</t>
  </si>
  <si>
    <t xml:space="preserve">Brucellosis </t>
  </si>
  <si>
    <t>undulant fever, Malta fever, Mediterranean fever</t>
  </si>
  <si>
    <t>Canis lupus</t>
  </si>
  <si>
    <t>dogs</t>
  </si>
  <si>
    <t>LK</t>
  </si>
  <si>
    <t>took cattle insead of dog</t>
  </si>
  <si>
    <t xml:space="preserve">Campylobacteriosis </t>
  </si>
  <si>
    <t>Sus domesticus</t>
  </si>
  <si>
    <t>swines</t>
  </si>
  <si>
    <t>bovines</t>
  </si>
  <si>
    <t>Lymphocytic Choriomeningitis</t>
  </si>
  <si>
    <t xml:space="preserve">Rodentia </t>
  </si>
  <si>
    <t>rodents</t>
  </si>
  <si>
    <t xml:space="preserve">Cryptococcosis </t>
  </si>
  <si>
    <t>Equus ferus caballus</t>
  </si>
  <si>
    <t>horses</t>
  </si>
  <si>
    <t xml:space="preserve">Cowpox </t>
  </si>
  <si>
    <t>Rodentia</t>
  </si>
  <si>
    <t xml:space="preserve">Cryptosporidiosis </t>
  </si>
  <si>
    <t>crypto</t>
  </si>
  <si>
    <t>MK</t>
  </si>
  <si>
    <t xml:space="preserve">Echinococcosis </t>
  </si>
  <si>
    <t>Hydatid disease</t>
  </si>
  <si>
    <t>hydatidosis</t>
  </si>
  <si>
    <t>echinococcal disease</t>
  </si>
  <si>
    <t>Ovis Aries</t>
  </si>
  <si>
    <t>sheep</t>
  </si>
  <si>
    <t>hydatid cyst</t>
  </si>
  <si>
    <t xml:space="preserve">Vulpes </t>
  </si>
  <si>
    <t>fox</t>
  </si>
  <si>
    <t xml:space="preserve">Leptospirosis </t>
  </si>
  <si>
    <t>rat fever, field fever</t>
  </si>
  <si>
    <t>Rattus</t>
  </si>
  <si>
    <t>rats</t>
  </si>
  <si>
    <t>haven't found acceptable articles</t>
  </si>
  <si>
    <t xml:space="preserve">Listeriosis </t>
  </si>
  <si>
    <t xml:space="preserve">Lagomorpha </t>
  </si>
  <si>
    <t>hare</t>
  </si>
  <si>
    <t xml:space="preserve">Psittacosis </t>
  </si>
  <si>
    <t>parrot fever, ornithosis</t>
  </si>
  <si>
    <t xml:space="preserve">Pasteurellosis </t>
  </si>
  <si>
    <t>Felis catus</t>
  </si>
  <si>
    <t>cats</t>
  </si>
  <si>
    <t>Bluetongue virus</t>
  </si>
  <si>
    <t xml:space="preserve">Caseous  Lymphadenitis </t>
  </si>
  <si>
    <t>Thin ewe syndrome</t>
  </si>
  <si>
    <t xml:space="preserve">Henipavirus </t>
  </si>
  <si>
    <t>Chiroptera</t>
  </si>
  <si>
    <t>bats</t>
  </si>
  <si>
    <t xml:space="preserve">Tungiasis  </t>
  </si>
  <si>
    <t>Tungose</t>
  </si>
  <si>
    <t>Siphonaptera</t>
  </si>
  <si>
    <t>Fleas</t>
  </si>
  <si>
    <t>Chikungunya</t>
  </si>
  <si>
    <t>Aedes</t>
  </si>
  <si>
    <t>Moskito</t>
  </si>
  <si>
    <t>Filariose lymphatique</t>
  </si>
  <si>
    <t>Fièvre de la vallée du Rift</t>
  </si>
  <si>
    <t>Fièvre jaune</t>
  </si>
  <si>
    <t>Anopheles</t>
  </si>
  <si>
    <t>Paludisme</t>
  </si>
  <si>
    <t>O’nyong’nyong</t>
  </si>
  <si>
    <t>Culex</t>
  </si>
  <si>
    <t>Encéphalite japonaise</t>
  </si>
  <si>
    <t xml:space="preserve">Fièvre du Nil occidental </t>
  </si>
  <si>
    <t>Oropouche</t>
  </si>
  <si>
    <r>
      <t xml:space="preserve"> </t>
    </r>
    <r>
      <rPr>
        <i/>
        <sz val="10"/>
        <color rgb="FF000000"/>
        <rFont val="Arial"/>
        <family val="2"/>
        <scheme val="minor"/>
      </rPr>
      <t>Culicoides</t>
    </r>
  </si>
  <si>
    <t>Gnats</t>
  </si>
  <si>
    <t xml:space="preserve"> 	Leishmaniasis</t>
  </si>
  <si>
    <t>Leishmaniose</t>
  </si>
  <si>
    <t>Phlebotomus</t>
  </si>
  <si>
    <t>Fièvre à phlébotomes</t>
  </si>
  <si>
    <t>Phlébotomes</t>
  </si>
  <si>
    <t>Fièvre hémorragique de Crimée-Congo</t>
  </si>
  <si>
    <t>Cattle + midges</t>
  </si>
  <si>
    <t>LKE</t>
  </si>
  <si>
    <t>Salmonella</t>
  </si>
  <si>
    <t>chickens</t>
  </si>
  <si>
    <t>Q fever</t>
  </si>
  <si>
    <t>Q fever : Coxiella burnetii</t>
  </si>
  <si>
    <t xml:space="preserve">goats </t>
  </si>
  <si>
    <t>Tularemia</t>
  </si>
  <si>
    <t xml:space="preserve">Francisella tularensis (hares+ tick) </t>
  </si>
  <si>
    <t>hares</t>
  </si>
  <si>
    <t>LIST OF ABSRACT TO EVALUATE</t>
  </si>
  <si>
    <t>GLOBI Abstracts list</t>
  </si>
  <si>
    <t>PMC or PMIDs Number</t>
  </si>
  <si>
    <t>Subject</t>
  </si>
  <si>
    <t>Choose by</t>
  </si>
  <si>
    <t>Done</t>
  </si>
  <si>
    <t>Pair Check by</t>
  </si>
  <si>
    <t>Biotic interaction ?</t>
  </si>
  <si>
    <t>links</t>
  </si>
  <si>
    <t>PMID23171587</t>
  </si>
  <si>
    <t>Yes</t>
  </si>
  <si>
    <t>No</t>
  </si>
  <si>
    <t>PMID16716759</t>
  </si>
  <si>
    <t>PMID937341</t>
  </si>
  <si>
    <t>PMID791551</t>
  </si>
  <si>
    <t>OK DA</t>
  </si>
  <si>
    <t>https://sibils.text-analytics.ch/api/fetch?ids=14584365&amp;col=medline&amp;format=bioc</t>
  </si>
  <si>
    <t>PMID14515152</t>
  </si>
  <si>
    <t>https://sibils.text-analytics.ch/api/fetch?ids=14515152&amp;col=medline&amp;format=bioc</t>
  </si>
  <si>
    <t>PMID3381603</t>
  </si>
  <si>
    <t>no</t>
  </si>
  <si>
    <t>https://sibils.text-analytics.ch/api/fetch?ids=3381603&amp;col=medline&amp;format=bioc</t>
  </si>
  <si>
    <t>PMC3913508</t>
  </si>
  <si>
    <t>https://sibils.text-analytics.ch/api/fetch?ids=PMC3913508&amp;col=pmc&amp;format=bioc</t>
  </si>
  <si>
    <t>PMID10405354</t>
  </si>
  <si>
    <t>https://sibils.text-analytics.ch/api/fetch?ids=10405354&amp;col=medline&amp;format=bioc</t>
  </si>
  <si>
    <t>Species/Disease Abstract list</t>
  </si>
  <si>
    <t>keywords</t>
  </si>
  <si>
    <t>Controler</t>
  </si>
  <si>
    <t>PMC10610582</t>
  </si>
  <si>
    <t>ticks borrelia</t>
  </si>
  <si>
    <t>relevance (1)</t>
  </si>
  <si>
    <t>OK LK</t>
  </si>
  <si>
    <t>https://sibils.text-analytics.ch/api/fetch?ids=PMC10610582&amp;col=pmc&amp;format=bioc</t>
  </si>
  <si>
    <t>PMC10686054</t>
  </si>
  <si>
    <t>relevance (5)</t>
  </si>
  <si>
    <t>https://sibils.text-analytics.ch/api/fetch?ids=PMC10686054&amp;col=pmc&amp;format=bioc</t>
  </si>
  <si>
    <t>PMC10588310</t>
  </si>
  <si>
    <t>ticks encephalitis</t>
  </si>
  <si>
    <t>https://sibils.text-analytics.ch/api/fetch?ids=PMC10588310&amp;col=pmc&amp;format=bioc</t>
  </si>
  <si>
    <t>PMC10820641</t>
  </si>
  <si>
    <t>date (1)</t>
  </si>
  <si>
    <t>https://sibils.text-analytics.ch/api/fetch?ids=PMC10820641&amp;col=pmc&amp;format=bioc</t>
  </si>
  <si>
    <t>PMC10651317</t>
  </si>
  <si>
    <t>relavance(2)</t>
  </si>
  <si>
    <t>No need</t>
  </si>
  <si>
    <t>https://biodiversitypmc.sibils.org/?query=PMC10651317&amp;tab=pmc#</t>
  </si>
  <si>
    <t>PMC10810618</t>
  </si>
  <si>
    <t>relavance(3)</t>
  </si>
  <si>
    <t>https://sibils.text-analytics.ch/api/fetch?ids=PMC10810618&amp;col=pmc&amp;format=bioc</t>
  </si>
  <si>
    <t>PMC10745727</t>
  </si>
  <si>
    <t>relavance(4)</t>
  </si>
  <si>
    <t>https://biodiversitypmc.sibils.org/api/fetch?ids=PMC10745727&amp;col=pmc&amp;format=bioc</t>
  </si>
  <si>
    <t>PMC10740895</t>
  </si>
  <si>
    <t>relavance(5)</t>
  </si>
  <si>
    <t>https://sibils.text-analytics.ch/api/fetch?ids=PMC10740895&amp;col=pmc&amp;format=bioc</t>
  </si>
  <si>
    <t>PMC10716283</t>
  </si>
  <si>
    <t>Brucella abortus cattle</t>
  </si>
  <si>
    <t>https://biodiversitypmc.sibils.org/api/fetch?ids=PMC10716283&amp;col=pmc&amp;format=bioc</t>
  </si>
  <si>
    <t>PMC10703501</t>
  </si>
  <si>
    <t>date (9)</t>
  </si>
  <si>
    <t>https://biodiversitypmc.sibils.org/api/fetch?ids=PMC10703501&amp;col=pmc&amp;format=bioc</t>
  </si>
  <si>
    <t>PMC4806713</t>
  </si>
  <si>
    <t>Tungiasis fleas</t>
  </si>
  <si>
    <t>https://biodiversitypmc.sibils.org/api/fetch?ids=PMC4806713&amp;col=pmc&amp;format=bioc</t>
  </si>
  <si>
    <t>PMC10938855</t>
  </si>
  <si>
    <t>https://biodiversitypmc.sibils.org/api/fetch?ids=PMC10938855&amp;col=pmc&amp;format=bioc</t>
  </si>
  <si>
    <t>PMC3320412</t>
  </si>
  <si>
    <t>Campylobacter flies</t>
  </si>
  <si>
    <t>https://biodiversitypmc.sibils.org/api/fetch?ids=PMC3320412&amp;col=pmc&amp;format=bioc</t>
  </si>
  <si>
    <t>PMC3035531</t>
  </si>
  <si>
    <t>Cowpox transmit</t>
  </si>
  <si>
    <t>OK MK</t>
  </si>
  <si>
    <t>https://biodiversitypmc.sibils.org/api/fetch?ids=PMC3035531&amp;col=pmc&amp;format=bioc</t>
  </si>
  <si>
    <t>PMC4025015</t>
  </si>
  <si>
    <t>Leptospirosis transmit</t>
  </si>
  <si>
    <t>https://biodiversitypmc.sibils.org/api/fetch?ids=PMC4025015&amp;col=pmc&amp;format=bioc</t>
  </si>
  <si>
    <t>PMC8797170</t>
  </si>
  <si>
    <t>Leptospirosis transmission</t>
  </si>
  <si>
    <t>date(1)</t>
  </si>
  <si>
    <t>https://biodiversitypmc.sibils.org/api/fetch?ids=PMC8797170&amp;col=pmc&amp;format=bioc</t>
  </si>
  <si>
    <t>PMC10746266</t>
  </si>
  <si>
    <t>mosquitos malaria</t>
  </si>
  <si>
    <t>relevance</t>
  </si>
  <si>
    <r>
      <t>PMC10859794</t>
    </r>
    <r>
      <rPr>
        <u/>
        <sz val="10"/>
        <color theme="10"/>
        <rFont val="Arial"/>
        <family val="2"/>
        <scheme val="minor"/>
      </rPr>
      <t xml:space="preserve"> </t>
    </r>
  </si>
  <si>
    <t>date</t>
  </si>
  <si>
    <r>
      <t>PMC10561574</t>
    </r>
    <r>
      <rPr>
        <u/>
        <sz val="10"/>
        <color theme="10"/>
        <rFont val="Arial"/>
        <family val="2"/>
        <scheme val="minor"/>
      </rPr>
      <t> </t>
    </r>
  </si>
  <si>
    <t>zika mosquito</t>
  </si>
  <si>
    <r>
      <t>PMC10756841</t>
    </r>
    <r>
      <rPr>
        <u/>
        <sz val="10"/>
        <color theme="10"/>
        <rFont val="Arial"/>
        <family val="2"/>
        <scheme val="minor"/>
      </rPr>
      <t> </t>
    </r>
  </si>
  <si>
    <t xml:space="preserve">PMC10548751 </t>
  </si>
  <si>
    <t>bovine spongiform encephalopathy</t>
  </si>
  <si>
    <t>PMC10767313 </t>
  </si>
  <si>
    <t>PMC9952982 </t>
  </si>
  <si>
    <t>Salmonella Chickens transmission</t>
  </si>
  <si>
    <t>relevance(1)</t>
  </si>
  <si>
    <t>https://biodiversitypmc.sibils.org/?query=PMC9952982%C2%A0&amp;tab=pmc#results-section</t>
  </si>
  <si>
    <t>PMC10672927</t>
  </si>
  <si>
    <t>date (3)</t>
  </si>
  <si>
    <t>https://biodiversitypmc.sibils.org/?query=PMC10672927&amp;tab=pmc#results-section</t>
  </si>
  <si>
    <t>PMC10404987 </t>
  </si>
  <si>
    <t xml:space="preserve">Q Fever goats </t>
  </si>
  <si>
    <t>relevance(3)</t>
  </si>
  <si>
    <t>https://biodiversitypmc.sibils.org/?query=PMC10404987%C2%A0&amp;tab=pmc#results-section</t>
  </si>
  <si>
    <t>PMC11545245 </t>
  </si>
  <si>
    <t>date (2)</t>
  </si>
  <si>
    <t>https://biodiversitypmc.sibils.org/?query=Q%20Fever%20goats&amp;tab=pmc#</t>
  </si>
  <si>
    <t>PMC9932182</t>
  </si>
  <si>
    <t>Francisella tularensis hares tick</t>
  </si>
  <si>
    <t>https://biodiversitypmc.sibils.org/?query=Francisella%20tularensis%20hares%20tick&amp;tab=pmc#results-section</t>
  </si>
  <si>
    <t>PMC10732219 </t>
  </si>
  <si>
    <t>data (2)</t>
  </si>
  <si>
    <t>PMC10620433 </t>
  </si>
  <si>
    <t>dengue + mosquitos</t>
  </si>
  <si>
    <t>https://biodiversitypmc.sibils.org/api/fetch?ids=PMC10620433&amp;col=pmc&amp;format=bioc</t>
  </si>
  <si>
    <t>PMC10837613</t>
  </si>
  <si>
    <t>date(2)</t>
  </si>
  <si>
    <t>https://biodiversitypmc.sibils.org/api/fetch?ids=PMC10837613&amp;col=pmc&amp;format=bioc</t>
  </si>
  <si>
    <t>PMID37896866 </t>
  </si>
  <si>
    <t>pigs</t>
  </si>
  <si>
    <t>relevance(2)</t>
  </si>
  <si>
    <t>https://biodiversitypmc.sibils.org/api/fetch?ids=PMC10612049&amp;col=pmc&amp;format=bioc</t>
  </si>
  <si>
    <t>PMC10752980</t>
  </si>
  <si>
    <t>https://biodiversitypmc.sibils.org/api/fetch?ids=PMC10752980&amp;col=pmc&amp;format=bioc</t>
  </si>
  <si>
    <t>PMC3557902 </t>
  </si>
  <si>
    <t xml:space="preserve">Echinococcosis fox </t>
  </si>
  <si>
    <t>https://biodiversitypmc.sibils.org/api/fetch?ids=PMC3557902&amp;col=pmc&amp;format=bioc</t>
  </si>
  <si>
    <t>PMC11573694 </t>
  </si>
  <si>
    <t>https://biodiversitypmc.sibils.org/api/fetch?ids=PMC11573694&amp;col=pmc&amp;format=bioc</t>
  </si>
  <si>
    <t>PMC3896851</t>
  </si>
  <si>
    <t>cattle midges</t>
  </si>
  <si>
    <t>OKDA</t>
  </si>
  <si>
    <t>https://biodiversitypmc.sibils.org/api/fetch?ids=PMC3896851&amp;col=pmc&amp;format=bioc</t>
  </si>
  <si>
    <t>PMC11540827 </t>
  </si>
  <si>
    <t>date(4)</t>
  </si>
  <si>
    <t>https://biodiversitypmc.sibils.org/api/fetch?ids=PMC11540827&amp;col=pmc&amp;format=bioc</t>
  </si>
  <si>
    <t>PMC10747904</t>
  </si>
  <si>
    <t xml:space="preserve">bats Henipavirus </t>
  </si>
  <si>
    <t>https://biodiversitypmc.sibils.org/api/fetch?ids=PMC10747904&amp;col=pmc&amp;format=bioc</t>
  </si>
  <si>
    <t>PMC10778288</t>
  </si>
  <si>
    <t>date(18)</t>
  </si>
  <si>
    <t>https://biodiversitypmc.sibils.org/api/fetch?ids=PMC10778288&amp;col=pmc&amp;format=bioc</t>
  </si>
  <si>
    <t>PMC10765567</t>
  </si>
  <si>
    <t>Brucellosis cattle</t>
  </si>
  <si>
    <t>https://biodiversitypmc.sibils.org/api/fetch?ids=PMC10765567&amp;col=pmc&amp;format=bioc</t>
  </si>
  <si>
    <t>PMC11561372 </t>
  </si>
  <si>
    <t>date(3)</t>
  </si>
  <si>
    <t>https://biodiversitypmc.sibils.org/api/fetch?ids=PMC11561372&amp;col=pmc&amp;format=bioc</t>
  </si>
  <si>
    <t>&gt; Medline abstract - Evaluation provided by David Aubert, Maïssa Konte and Linda Keller</t>
  </si>
  <si>
    <t>PMID or PMC number</t>
  </si>
  <si>
    <t>Concept (concept_form)</t>
  </si>
  <si>
    <t>Terminology (concept_source)</t>
  </si>
  <si>
    <t>Code in Terminology (concept_id)</t>
  </si>
  <si>
    <t>True positive</t>
  </si>
  <si>
    <t>False positive</t>
  </si>
  <si>
    <t>Nb total annotations</t>
  </si>
  <si>
    <t>Questioning annotation</t>
  </si>
  <si>
    <t>verify by DA</t>
  </si>
  <si>
    <t>ott</t>
  </si>
  <si>
    <t>Leishmania (Viannia</t>
  </si>
  <si>
    <t>infection</t>
  </si>
  <si>
    <t>robiext</t>
  </si>
  <si>
    <t>ROBI_000314</t>
  </si>
  <si>
    <t>human</t>
  </si>
  <si>
    <t>transmission</t>
  </si>
  <si>
    <t>ROBI_000040</t>
  </si>
  <si>
    <t>Viannia</t>
  </si>
  <si>
    <t>verify by LK</t>
  </si>
  <si>
    <t>Soft ticks</t>
  </si>
  <si>
    <t>pathogens</t>
  </si>
  <si>
    <t>ROBI_000313</t>
  </si>
  <si>
    <t>is it a biotic term ? --&gt; yes</t>
  </si>
  <si>
    <t>ticks</t>
  </si>
  <si>
    <t>Argas persicus</t>
  </si>
  <si>
    <t>Borrelia anserina</t>
  </si>
  <si>
    <t>ducks</t>
  </si>
  <si>
    <t>Carios vespertilioni</t>
  </si>
  <si>
    <t>C. vespertilionis</t>
  </si>
  <si>
    <t>not Cheletonella vespertilionis here, but carios</t>
  </si>
  <si>
    <t>hosts</t>
  </si>
  <si>
    <t>ROBI_000072</t>
  </si>
  <si>
    <t>avian</t>
  </si>
  <si>
    <t>Borrelia</t>
  </si>
  <si>
    <t>Genus or species is it the same ? --&gt; yes</t>
  </si>
  <si>
    <t>humans</t>
  </si>
  <si>
    <t>B. anserina</t>
  </si>
  <si>
    <t>not Begonia anserina here, but borrelia</t>
  </si>
  <si>
    <t>verify by MK</t>
  </si>
  <si>
    <t>PMC10620433</t>
  </si>
  <si>
    <t>Aedes aegypti</t>
  </si>
  <si>
    <t>vector of</t>
  </si>
  <si>
    <t>ROBI_000009</t>
  </si>
  <si>
    <t>adaptation</t>
  </si>
  <si>
    <t>ROBI_000047</t>
  </si>
  <si>
    <t>Cauca</t>
  </si>
  <si>
    <t>Cauca is a departement in colombia</t>
  </si>
  <si>
    <t>pupal</t>
  </si>
  <si>
    <t>is not pupalia (genus of flowering plants) here, it's the life stage</t>
  </si>
  <si>
    <t>mosquitos</t>
  </si>
  <si>
    <t>P. gingivalis</t>
  </si>
  <si>
    <t>inhibiting</t>
  </si>
  <si>
    <t>ROBI_000037</t>
  </si>
  <si>
    <t>killing</t>
  </si>
  <si>
    <t>ROBI_000032</t>
  </si>
  <si>
    <t>Borrelia burgdorferi</t>
  </si>
  <si>
    <t>rabbit</t>
  </si>
  <si>
    <t>presence of</t>
  </si>
  <si>
    <t>ROBI_000051</t>
  </si>
  <si>
    <t>bovine</t>
  </si>
  <si>
    <t>Rous sarcoma virus</t>
  </si>
  <si>
    <t>ictv</t>
  </si>
  <si>
    <t>cotton rats</t>
  </si>
  <si>
    <t>Ornithodoros turicata</t>
  </si>
  <si>
    <t>Borrelia turicatae</t>
  </si>
  <si>
    <t>transmits</t>
  </si>
  <si>
    <t>Ornithodoros</t>
  </si>
  <si>
    <t>transferring</t>
  </si>
  <si>
    <t xml:space="preserve">presence of </t>
  </si>
  <si>
    <t>affecting</t>
  </si>
  <si>
    <t>ROBI_000045</t>
  </si>
  <si>
    <t>help</t>
  </si>
  <si>
    <t>ROBI_000044</t>
  </si>
  <si>
    <t>infections</t>
  </si>
  <si>
    <t>host</t>
  </si>
  <si>
    <t>habitat</t>
  </si>
  <si>
    <t>ROBI_000015</t>
  </si>
  <si>
    <t>taiga tick</t>
  </si>
  <si>
    <t>transmit</t>
  </si>
  <si>
    <t>derived from</t>
  </si>
  <si>
    <t>ROBI_000041</t>
  </si>
  <si>
    <t>Ixodidae</t>
  </si>
  <si>
    <t>Ixodes persulcatus</t>
  </si>
  <si>
    <t>Acari</t>
  </si>
  <si>
    <t>Ixodes</t>
  </si>
  <si>
    <t xml:space="preserve">PMC10837613 </t>
  </si>
  <si>
    <t>transfer</t>
  </si>
  <si>
    <t>2nd</t>
  </si>
  <si>
    <t>PMID37896866</t>
  </si>
  <si>
    <t>swine</t>
  </si>
  <si>
    <t>1 refer to swine fever. Both species or not ?</t>
  </si>
  <si>
    <t>not a biotic term here --&gt; yes it is</t>
  </si>
  <si>
    <t>vaccinated</t>
  </si>
  <si>
    <t>ROBI_000070</t>
  </si>
  <si>
    <t>not a biotic term here</t>
  </si>
  <si>
    <t>eliminated</t>
  </si>
  <si>
    <t>ROBI_000062</t>
  </si>
  <si>
    <t>feces</t>
  </si>
  <si>
    <t>ROBI_000210</t>
  </si>
  <si>
    <t>not a biotic term here --&gt; yes it is, a vector</t>
  </si>
  <si>
    <t>1st without interaction between 2 spieces</t>
  </si>
  <si>
    <t>in this context not a biotic term</t>
  </si>
  <si>
    <t>Streptococcus</t>
  </si>
  <si>
    <t>Treponema</t>
  </si>
  <si>
    <t>resistance</t>
  </si>
  <si>
    <t>ROBI_000071</t>
  </si>
  <si>
    <t>Prevotella</t>
  </si>
  <si>
    <t>Lactobacillus</t>
  </si>
  <si>
    <t>Lactobacillus plantarum</t>
  </si>
  <si>
    <t>resistance to</t>
  </si>
  <si>
    <t>not biotic term here</t>
  </si>
  <si>
    <t>Staphylococcus aureus</t>
  </si>
  <si>
    <t>Salmonella typhimurium</t>
  </si>
  <si>
    <t>Escherichia coli</t>
  </si>
  <si>
    <t>Listeria monocytogenes</t>
  </si>
  <si>
    <t>Bacillus cereus</t>
  </si>
  <si>
    <t>Lactococcus lactis</t>
  </si>
  <si>
    <t>not biotic term in this context</t>
  </si>
  <si>
    <t>Toxoplasma gondii</t>
  </si>
  <si>
    <t>toxoplasma</t>
  </si>
  <si>
    <t>infection, the disease here not a species</t>
  </si>
  <si>
    <t xml:space="preserve">PMID791551 </t>
  </si>
  <si>
    <t>Human</t>
  </si>
  <si>
    <t>PMC3557902</t>
  </si>
  <si>
    <t>Echinococcus multilocularis</t>
  </si>
  <si>
    <t>present in</t>
  </si>
  <si>
    <t>PMC11573694</t>
  </si>
  <si>
    <t>twice use as adjective, once as name</t>
  </si>
  <si>
    <t>E. multilocularis</t>
  </si>
  <si>
    <t>mammals</t>
  </si>
  <si>
    <t>biotic term here ? --&gt;yes</t>
  </si>
  <si>
    <t>red fox</t>
  </si>
  <si>
    <t>3 times in the abstract, but twice in BioC because the third time is in plural</t>
  </si>
  <si>
    <t>Vulpes vulpes</t>
  </si>
  <si>
    <t>farm</t>
  </si>
  <si>
    <t>ROBI_000035</t>
  </si>
  <si>
    <t>prey</t>
  </si>
  <si>
    <t>ROBI_000202</t>
  </si>
  <si>
    <t>verifed by DA</t>
  </si>
  <si>
    <t>Culicoides</t>
  </si>
  <si>
    <t>5 spp /8 alone. 12 in JSON but 13 in abstract</t>
  </si>
  <si>
    <t>biotic term ? --&gt; yes</t>
  </si>
  <si>
    <t xml:space="preserve">biotic interaction? --&gt; yes </t>
  </si>
  <si>
    <t>originated from</t>
  </si>
  <si>
    <t>ROBI_000039</t>
  </si>
  <si>
    <t>not a biotic interaction --&gt; yes you are right</t>
  </si>
  <si>
    <t>C. punctatus</t>
  </si>
  <si>
    <t>DA: should be Culicoides punctatus not Constrictocepheus punctatus</t>
  </si>
  <si>
    <t>C. scoticus</t>
  </si>
  <si>
    <t>DA: should be Culicoides scoticus not Crambus scoticus</t>
  </si>
  <si>
    <t>C. subfagineus</t>
  </si>
  <si>
    <t>C. achrayi</t>
  </si>
  <si>
    <t>C. dewulfi</t>
  </si>
  <si>
    <t>DA: should be Culicoides pallidicornis not Cladiscus pallidicornis</t>
  </si>
  <si>
    <t>C. griseidorsum</t>
  </si>
  <si>
    <t>DA: should be Culicoides pulicaris not Ceratopogon pulicaris</t>
  </si>
  <si>
    <t>C. pallidicornis</t>
  </si>
  <si>
    <t>DA: should be Culicoides griseidorsum not Cryptochironomus griseidorsum</t>
  </si>
  <si>
    <t>C. pulicaris</t>
  </si>
  <si>
    <t>C. lupicaris</t>
  </si>
  <si>
    <t>DA: should be Culicoides stigma not Cheumatopsyche stigma</t>
  </si>
  <si>
    <t>C. stigma</t>
  </si>
  <si>
    <t>DA: should be Culicoides dewulfi not Cricotopus dewulfi</t>
  </si>
  <si>
    <t>C. chiopterus</t>
  </si>
  <si>
    <t>midge</t>
  </si>
  <si>
    <t>2 in abstract but 1 in JSON</t>
  </si>
  <si>
    <t>verifed by MK</t>
  </si>
  <si>
    <t>PMC11540827</t>
  </si>
  <si>
    <t>not a biotic interaction</t>
  </si>
  <si>
    <t>feed on</t>
  </si>
  <si>
    <t>ROBI_000201</t>
  </si>
  <si>
    <t>biotic interaction ?</t>
  </si>
  <si>
    <t>farms</t>
  </si>
  <si>
    <t>feeding on</t>
  </si>
  <si>
    <t>hosts of</t>
  </si>
  <si>
    <t>Australia</t>
  </si>
  <si>
    <t>opossum</t>
  </si>
  <si>
    <t>unclassified</t>
  </si>
  <si>
    <t>host of</t>
  </si>
  <si>
    <t>biotic interaction, yes it is</t>
  </si>
  <si>
    <t>used as adjective for pathogens. Is it still à sepcies term</t>
  </si>
  <si>
    <t>not a biotic term --&gt; yes in this context</t>
  </si>
  <si>
    <t>vespertilionid bats</t>
  </si>
  <si>
    <t>infect</t>
  </si>
  <si>
    <t>biotic term yes</t>
  </si>
  <si>
    <t>PMC11561372</t>
  </si>
  <si>
    <t>goats</t>
  </si>
  <si>
    <t>Salmonella enterica serovar Gallinarum</t>
  </si>
  <si>
    <t>mk</t>
  </si>
  <si>
    <t>resistant</t>
  </si>
  <si>
    <t>pathogen</t>
  </si>
  <si>
    <t>S. enterica</t>
  </si>
  <si>
    <t>elimination</t>
  </si>
  <si>
    <t>invasion</t>
  </si>
  <si>
    <t>ROBI_000055</t>
  </si>
  <si>
    <t>Vaccination</t>
  </si>
  <si>
    <t>Coxiella burnetii</t>
  </si>
  <si>
    <t>verifed by DA, X checked/corrected</t>
  </si>
  <si>
    <t>mouflon</t>
  </si>
  <si>
    <t>DA: 4 not 5</t>
  </si>
  <si>
    <t>red deer</t>
  </si>
  <si>
    <t xml:space="preserve">not biotic term here </t>
  </si>
  <si>
    <t>verifed by LK</t>
  </si>
  <si>
    <t>Francisella tularensis</t>
  </si>
  <si>
    <t>Francisella</t>
  </si>
  <si>
    <t>clinical samples</t>
  </si>
  <si>
    <t>clinical samples is not species</t>
  </si>
  <si>
    <t>rodent</t>
  </si>
  <si>
    <t>PMC10732219</t>
  </si>
  <si>
    <t>vertebrates</t>
  </si>
  <si>
    <t>rabbits</t>
  </si>
  <si>
    <t>zoonotic pathogen</t>
  </si>
  <si>
    <t>associated with an other word</t>
  </si>
  <si>
    <t xml:space="preserve">pathogen </t>
  </si>
  <si>
    <t>Biotic term here ? --&gt; yes</t>
  </si>
  <si>
    <t>Brucella abortus</t>
  </si>
  <si>
    <t>shared</t>
  </si>
  <si>
    <t>ROBI_000043</t>
  </si>
  <si>
    <t>clade C</t>
  </si>
  <si>
    <t>infected with</t>
  </si>
  <si>
    <t>Bartonella</t>
  </si>
  <si>
    <t>infecting</t>
  </si>
  <si>
    <t>Bartonella bovis</t>
  </si>
  <si>
    <t>B. bovis</t>
  </si>
  <si>
    <t>not bovicola bovis, here Bartonella bovis</t>
  </si>
  <si>
    <t>fleas / Siphonaptera</t>
  </si>
  <si>
    <t>Tunga</t>
  </si>
  <si>
    <t>Tungidae</t>
  </si>
  <si>
    <t>Tunga penetrans</t>
  </si>
  <si>
    <t>Siphonaptera / fleas</t>
  </si>
  <si>
    <t>ectoparasites</t>
  </si>
  <si>
    <t>ROBI_000307</t>
  </si>
  <si>
    <t>transmit / transmission</t>
  </si>
  <si>
    <t>Campylobacter jejuni</t>
  </si>
  <si>
    <t>Campylobacter</t>
  </si>
  <si>
    <t>eliminating</t>
  </si>
  <si>
    <t>verify by mk</t>
  </si>
  <si>
    <t>cowpox virus</t>
  </si>
  <si>
    <t>vaccinia virus</t>
  </si>
  <si>
    <t>MK: 2 time instead of 1 time</t>
  </si>
  <si>
    <t>transmission / transmit</t>
  </si>
  <si>
    <t>MK: 4 time instead of 3 time</t>
  </si>
  <si>
    <t>relative to</t>
  </si>
  <si>
    <t>biotic term ? --&gt; no</t>
  </si>
  <si>
    <t>variola</t>
  </si>
  <si>
    <t>vaccination</t>
  </si>
  <si>
    <t>infections / infects</t>
  </si>
  <si>
    <t>hosts of / hosts</t>
  </si>
  <si>
    <t>reservoir hosts</t>
  </si>
  <si>
    <t>ROBI_000074</t>
  </si>
  <si>
    <t>adapted to</t>
  </si>
  <si>
    <t>transport</t>
  </si>
  <si>
    <t>ROBI_000050</t>
  </si>
  <si>
    <t>in this context, is not a biotic interaction</t>
  </si>
  <si>
    <t>Leptospira</t>
  </si>
  <si>
    <t>L. borgpetersenii</t>
  </si>
  <si>
    <t>L. interrogans</t>
  </si>
  <si>
    <t>verified by LK checked/corrected</t>
  </si>
  <si>
    <t>hunting</t>
  </si>
  <si>
    <t>ROBI_000203</t>
  </si>
  <si>
    <t>in this context, is not a biotic interaction --&gt; I also put it false but I'm not sure</t>
  </si>
  <si>
    <t>not a species, a country here --&gt; yes, you're right</t>
  </si>
  <si>
    <t>LK: is it an biotic term ? --&gt; no</t>
  </si>
  <si>
    <t>exposed to</t>
  </si>
  <si>
    <t>ROBI_000053</t>
  </si>
  <si>
    <t>LK: is it an biotic term ?--&gt; yes</t>
  </si>
  <si>
    <t>LK: There are 2 in abstract not 3</t>
  </si>
  <si>
    <t>infecting / infection</t>
  </si>
  <si>
    <t>Arborea</t>
  </si>
  <si>
    <t>not Charniodiscus here, should be something about Leptosira borgpetersenii serovar Arborea</t>
  </si>
  <si>
    <t>Australis</t>
  </si>
  <si>
    <t>not Diplodon her, shoule be somthing about Leptospirosis Australis serogroup</t>
  </si>
  <si>
    <t>pasteurella</t>
  </si>
  <si>
    <t>Pasteurella multocida</t>
  </si>
  <si>
    <t>Pasteurella haemolytica</t>
  </si>
  <si>
    <t>Toxocara canis</t>
  </si>
  <si>
    <t>mosquitos malaria (r)</t>
  </si>
  <si>
    <t>Plasmodium falciparum</t>
  </si>
  <si>
    <t>Homo sapiens</t>
  </si>
  <si>
    <t>alter</t>
  </si>
  <si>
    <t>ROBI_000067</t>
  </si>
  <si>
    <t>interaction</t>
  </si>
  <si>
    <t>ROBI_000001</t>
  </si>
  <si>
    <t>mosquitos malaria (D)</t>
  </si>
  <si>
    <t>Plasmodium</t>
  </si>
  <si>
    <t>PMC10561574 </t>
  </si>
  <si>
    <t>zika mosquito (r)</t>
  </si>
  <si>
    <t>mutations</t>
  </si>
  <si>
    <t>ROBI_000038</t>
  </si>
  <si>
    <t>farm is not a biotic interaction</t>
  </si>
  <si>
    <t>affects</t>
  </si>
  <si>
    <t>PMC10756841</t>
  </si>
  <si>
    <t>zika mosquito (d)</t>
  </si>
  <si>
    <t>bovine spongiform encephalopathy (r)</t>
  </si>
  <si>
    <t>bovine /cattle</t>
  </si>
  <si>
    <t>prion</t>
  </si>
  <si>
    <t xml:space="preserve">not a species but a protein </t>
  </si>
  <si>
    <t>is it a biotic interaction in this case? --&gt; yes</t>
  </si>
  <si>
    <t>INTERMEDIATE STATISTIC</t>
  </si>
  <si>
    <t>Nb by term</t>
  </si>
  <si>
    <t>Nb by annotation</t>
  </si>
  <si>
    <t>Nb by term (ott)</t>
  </si>
  <si>
    <t>Nb by annotation (ott)</t>
  </si>
  <si>
    <t>Nb by term (ictv)</t>
  </si>
  <si>
    <t>Nb by annotation (ictv)</t>
  </si>
  <si>
    <t>Nb by term (ROBIext)</t>
  </si>
  <si>
    <t>Nb by annotation (ROBIext)</t>
  </si>
  <si>
    <t>% by term</t>
  </si>
  <si>
    <t>% by term (ott)</t>
  </si>
  <si>
    <t>% by term (ictv)</t>
  </si>
  <si>
    <t>% by term (robiext)</t>
  </si>
  <si>
    <t>% by annotation</t>
  </si>
  <si>
    <t>% by annotation (ott)</t>
  </si>
  <si>
    <t>% by annotation (ictv)</t>
  </si>
  <si>
    <t>% by annotation (robiext)</t>
  </si>
  <si>
    <t xml:space="preserve">Biotic Interaction </t>
  </si>
  <si>
    <t>Sentence</t>
  </si>
  <si>
    <t>Concept 1 (species 1)</t>
  </si>
  <si>
    <t>Biotic term</t>
  </si>
  <si>
    <t>Concept 2 (species 2)</t>
  </si>
  <si>
    <r>
      <t xml:space="preserve">"This study reported the epidemiology and molecular characterization of Borrelia anserina in Argas persicus collected from domestic fowls, ducks and their shelters and </t>
    </r>
    <r>
      <rPr>
        <sz val="10"/>
        <color rgb="FFFF0000"/>
        <rFont val="Arial"/>
        <family val="2"/>
        <scheme val="minor"/>
      </rPr>
      <t>Carios vespertilionis ticks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t>
    </r>
    <r>
      <rPr>
        <sz val="10"/>
        <color theme="6"/>
        <rFont val="Arial"/>
        <family val="2"/>
        <scheme val="minor"/>
      </rPr>
      <t>bats</t>
    </r>
    <r>
      <rPr>
        <sz val="10"/>
        <color rgb="FF000000"/>
        <rFont val="Arial"/>
        <family val="2"/>
        <scheme val="minor"/>
      </rPr>
      <t xml:space="preserve"> in Khyber Pakhtunkhwa (KP), Pakistan."</t>
    </r>
  </si>
  <si>
    <t>Carios vespertilionis</t>
  </si>
  <si>
    <t>infesting</t>
  </si>
  <si>
    <t>infesting should be annoted as a biotic term</t>
  </si>
  <si>
    <r>
      <t xml:space="preserve">"Argasid </t>
    </r>
    <r>
      <rPr>
        <sz val="10"/>
        <color rgb="FFC00000"/>
        <rFont val="Arial"/>
        <family val="2"/>
        <scheme val="minor"/>
      </rPr>
      <t>ticks</t>
    </r>
    <r>
      <rPr>
        <sz val="10"/>
        <color rgb="FF000000"/>
        <rFont val="Arial"/>
        <family val="2"/>
        <scheme val="minor"/>
      </rPr>
      <t xml:space="preserve"> have the vectorial potential for </t>
    </r>
    <r>
      <rPr>
        <sz val="10"/>
        <color rgb="FF00B050"/>
        <rFont val="Arial"/>
        <family val="2"/>
        <scheme val="minor"/>
      </rPr>
      <t>transmitting</t>
    </r>
    <r>
      <rPr>
        <sz val="10"/>
        <color rgb="FF000000"/>
        <rFont val="Arial"/>
        <family val="2"/>
        <scheme val="minor"/>
      </rPr>
      <t xml:space="preserve"> disease-causing </t>
    </r>
    <r>
      <rPr>
        <sz val="10"/>
        <rFont val="Arial"/>
        <family val="2"/>
        <scheme val="minor"/>
      </rPr>
      <t>pathogens</t>
    </r>
    <r>
      <rPr>
        <sz val="10"/>
        <color rgb="FF000000"/>
        <rFont val="Arial"/>
        <family val="2"/>
        <scheme val="minor"/>
      </rPr>
      <t xml:space="preserve"> to </t>
    </r>
    <r>
      <rPr>
        <sz val="10"/>
        <color rgb="FFFFC000"/>
        <rFont val="Arial"/>
        <family val="2"/>
        <scheme val="minor"/>
      </rPr>
      <t>avian</t>
    </r>
    <r>
      <rPr>
        <sz val="10"/>
        <color rgb="FF000000"/>
        <rFont val="Arial"/>
        <family val="2"/>
        <scheme val="minor"/>
      </rPr>
      <t xml:space="preserve"> hosts, resulting in economic losses that may not be fully estimated."</t>
    </r>
  </si>
  <si>
    <t>transmitting</t>
  </si>
  <si>
    <t>X</t>
  </si>
  <si>
    <t>transmitting should be annoted as a biotic term</t>
  </si>
  <si>
    <r>
      <t xml:space="preserve">"Our previous studies have reported a high prevalence of </t>
    </r>
    <r>
      <rPr>
        <sz val="10"/>
        <color rgb="FFFF0000"/>
        <rFont val="Arial"/>
        <family val="2"/>
        <scheme val="minor"/>
      </rPr>
      <t>Argas persicus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domestic </t>
    </r>
    <r>
      <rPr>
        <sz val="10"/>
        <color theme="6"/>
        <rFont val="Arial"/>
        <family val="2"/>
        <scheme val="minor"/>
      </rPr>
      <t>fowls</t>
    </r>
    <r>
      <rPr>
        <sz val="10"/>
        <color rgb="FF000000"/>
        <rFont val="Arial"/>
        <family val="2"/>
        <scheme val="minor"/>
      </rPr>
      <t xml:space="preserve"> in Khyber Pakhtunkhwa (KP), Pakistan."</t>
    </r>
  </si>
  <si>
    <t>fowls</t>
  </si>
  <si>
    <t>infesting should be annoted as a biotic term,  fowls should be annoted as species</t>
  </si>
  <si>
    <r>
      <t xml:space="preserve">"associated with </t>
    </r>
    <r>
      <rPr>
        <sz val="10"/>
        <color rgb="FFFF0000"/>
        <rFont val="Arial"/>
        <family val="2"/>
        <scheme val="minor"/>
      </rPr>
      <t>A. persicus ticks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domestic </t>
    </r>
    <r>
      <rPr>
        <sz val="10"/>
        <color theme="6"/>
        <rFont val="Arial"/>
        <family val="2"/>
        <scheme val="minor"/>
      </rPr>
      <t>fowls</t>
    </r>
    <r>
      <rPr>
        <sz val="10"/>
        <color rgb="FF000000"/>
        <rFont val="Arial"/>
        <family val="2"/>
        <scheme val="minor"/>
      </rPr>
      <t xml:space="preserve"> and </t>
    </r>
    <r>
      <rPr>
        <sz val="10"/>
        <color theme="6"/>
        <rFont val="Arial"/>
        <family val="2"/>
        <scheme val="minor"/>
      </rPr>
      <t>ducks</t>
    </r>
    <r>
      <rPr>
        <sz val="10"/>
        <color rgb="FF000000"/>
        <rFont val="Arial"/>
        <family val="2"/>
        <scheme val="minor"/>
      </rPr>
      <t xml:space="preserve">, and </t>
    </r>
    <r>
      <rPr>
        <sz val="10"/>
        <color rgb="FFFF0000"/>
        <rFont val="Arial"/>
        <family val="2"/>
        <scheme val="minor"/>
      </rPr>
      <t>Carios vespertilionis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t>
    </r>
    <r>
      <rPr>
        <sz val="10"/>
        <color theme="6"/>
        <rFont val="Arial"/>
        <family val="2"/>
        <scheme val="minor"/>
      </rPr>
      <t>bats</t>
    </r>
    <r>
      <rPr>
        <sz val="10"/>
        <color rgb="FF000000"/>
        <rFont val="Arial"/>
        <family val="2"/>
        <scheme val="minor"/>
      </rPr>
      <t xml:space="preserve"> in selected districts of KP."</t>
    </r>
  </si>
  <si>
    <t>Argas persicus, ticks, Carios vespertilionis</t>
  </si>
  <si>
    <t>fowls, ducks, bats</t>
  </si>
  <si>
    <r>
      <t xml:space="preserve">"These results establish the first molecular characterization of B. anserina in </t>
    </r>
    <r>
      <rPr>
        <sz val="10"/>
        <color rgb="FFFF0000"/>
        <rFont val="Arial"/>
        <family val="2"/>
        <scheme val="minor"/>
      </rPr>
      <t>A. persicus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domestic </t>
    </r>
    <r>
      <rPr>
        <sz val="10"/>
        <color rgb="FFFFC000"/>
        <rFont val="Arial"/>
        <family val="2"/>
        <scheme val="minor"/>
      </rPr>
      <t>fowls and ducks</t>
    </r>
    <r>
      <rPr>
        <sz val="10"/>
        <color rgb="FF000000"/>
        <rFont val="Arial"/>
        <family val="2"/>
        <scheme val="minor"/>
      </rPr>
      <t xml:space="preserve"> in the region, as well as their shelters."</t>
    </r>
  </si>
  <si>
    <t>fowls, ducks</t>
  </si>
  <si>
    <r>
      <t xml:space="preserve">"To effectively control zoonotic consequences, country-wide surveillance research should be encouraged to screen </t>
    </r>
    <r>
      <rPr>
        <sz val="10"/>
        <color rgb="FFFF0000"/>
        <rFont val="Arial"/>
        <family val="2"/>
        <scheme val="minor"/>
      </rPr>
      <t>soft ticks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various </t>
    </r>
    <r>
      <rPr>
        <sz val="10"/>
        <color rgb="FFFFC000"/>
        <rFont val="Arial"/>
        <family val="2"/>
        <scheme val="minor"/>
      </rPr>
      <t>birds</t>
    </r>
    <r>
      <rPr>
        <sz val="10"/>
        <color rgb="FF000000"/>
        <rFont val="Arial"/>
        <family val="2"/>
        <scheme val="minor"/>
      </rPr>
      <t xml:space="preserve"> for associated </t>
    </r>
    <r>
      <rPr>
        <sz val="10"/>
        <color rgb="FF00B050"/>
        <rFont val="Arial"/>
        <family val="2"/>
        <scheme val="minor"/>
      </rPr>
      <t>pathogens</t>
    </r>
    <r>
      <rPr>
        <sz val="10"/>
        <color rgb="FF000000"/>
        <rFont val="Arial"/>
        <family val="2"/>
        <scheme val="minor"/>
      </rPr>
      <t>."</t>
    </r>
  </si>
  <si>
    <t>soft ticks</t>
  </si>
  <si>
    <t>infesting, pathogens</t>
  </si>
  <si>
    <r>
      <rPr>
        <sz val="10"/>
        <color rgb="FFFF0000"/>
        <rFont val="Arial"/>
        <family val="2"/>
        <scheme val="minor"/>
      </rPr>
      <t>Soft ticks</t>
    </r>
    <r>
      <rPr>
        <sz val="10"/>
        <color rgb="FF000000"/>
        <rFont val="Arial"/>
        <scheme val="minor"/>
      </rPr>
      <t xml:space="preserve"> are well-known for </t>
    </r>
    <r>
      <rPr>
        <sz val="10"/>
        <color rgb="FF00B050"/>
        <rFont val="Arial"/>
        <family val="2"/>
        <scheme val="minor"/>
      </rPr>
      <t>vectoring</t>
    </r>
    <r>
      <rPr>
        <sz val="10"/>
        <color rgb="FF000000"/>
        <rFont val="Arial"/>
        <scheme val="minor"/>
      </rPr>
      <t xml:space="preserve"> several disease-causing </t>
    </r>
    <r>
      <rPr>
        <sz val="10"/>
        <color rgb="FFFFC000"/>
        <rFont val="Arial"/>
        <family val="2"/>
        <scheme val="minor"/>
      </rPr>
      <t>pathogens</t>
    </r>
    <r>
      <rPr>
        <sz val="10"/>
        <color rgb="FF000000"/>
        <rFont val="Arial"/>
        <scheme val="minor"/>
      </rPr>
      <t xml:space="preserve"> that are distributed throughout the world.</t>
    </r>
  </si>
  <si>
    <t>vectoring</t>
  </si>
  <si>
    <t>vectoring should be annoted as a biotic term</t>
  </si>
  <si>
    <r>
      <t>Further studies are encouraged to screen</t>
    </r>
    <r>
      <rPr>
        <sz val="10"/>
        <color rgb="FFFF0000"/>
        <rFont val="Arial"/>
        <family val="2"/>
        <scheme val="minor"/>
      </rPr>
      <t xml:space="preserve"> soft ticks</t>
    </r>
    <r>
      <rPr>
        <sz val="10"/>
        <color rgb="FF000000"/>
        <rFont val="Arial"/>
        <family val="2"/>
        <scheme val="minor"/>
      </rPr>
      <t xml:space="preserve"> for </t>
    </r>
    <r>
      <rPr>
        <sz val="10"/>
        <color rgb="FFFF0000"/>
        <rFont val="Arial"/>
        <family val="2"/>
        <scheme val="minor"/>
      </rPr>
      <t>pathogens</t>
    </r>
    <r>
      <rPr>
        <sz val="10"/>
        <color rgb="FF000000"/>
        <rFont val="Arial"/>
        <family val="2"/>
        <scheme val="minor"/>
      </rPr>
      <t xml:space="preserve"> that </t>
    </r>
    <r>
      <rPr>
        <sz val="10"/>
        <color rgb="FF00B050"/>
        <rFont val="Arial"/>
        <family val="2"/>
        <scheme val="minor"/>
      </rPr>
      <t>affect</t>
    </r>
    <r>
      <rPr>
        <sz val="10"/>
        <color rgb="FF000000"/>
        <rFont val="Arial"/>
        <family val="2"/>
        <scheme val="minor"/>
      </rPr>
      <t xml:space="preserve"> </t>
    </r>
    <r>
      <rPr>
        <sz val="10"/>
        <rFont val="Arial"/>
        <family val="2"/>
        <scheme val="minor"/>
      </rPr>
      <t>public and veterinary health</t>
    </r>
    <r>
      <rPr>
        <sz val="10"/>
        <color rgb="FF000000"/>
        <rFont val="Arial"/>
        <family val="2"/>
        <scheme val="minor"/>
      </rPr>
      <t>.</t>
    </r>
  </si>
  <si>
    <t>soft ticks, pathogens</t>
  </si>
  <si>
    <t>affect</t>
  </si>
  <si>
    <t>affect should be annoted as a biotic term</t>
  </si>
  <si>
    <r>
      <t xml:space="preserve">country-wide surveillance research should be encouraged to screen </t>
    </r>
    <r>
      <rPr>
        <sz val="10"/>
        <color rgb="FFFF0000"/>
        <rFont val="Arial"/>
        <family val="2"/>
        <scheme val="minor"/>
      </rPr>
      <t>soft ticks</t>
    </r>
    <r>
      <rPr>
        <sz val="10"/>
        <color rgb="FF000000"/>
        <rFont val="Arial"/>
        <family val="2"/>
        <scheme val="minor"/>
      </rPr>
      <t xml:space="preserve"> </t>
    </r>
    <r>
      <rPr>
        <sz val="10"/>
        <color rgb="FF00B050"/>
        <rFont val="Arial"/>
        <family val="2"/>
        <scheme val="minor"/>
      </rPr>
      <t>infesting</t>
    </r>
    <r>
      <rPr>
        <sz val="10"/>
        <color rgb="FF000000"/>
        <rFont val="Arial"/>
        <family val="2"/>
        <scheme val="minor"/>
      </rPr>
      <t xml:space="preserve"> various</t>
    </r>
    <r>
      <rPr>
        <sz val="10"/>
        <color rgb="FFFFC000"/>
        <rFont val="Arial"/>
        <family val="2"/>
        <scheme val="minor"/>
      </rPr>
      <t xml:space="preserve"> birds </t>
    </r>
    <r>
      <rPr>
        <sz val="10"/>
        <color rgb="FF000000"/>
        <rFont val="Arial"/>
        <family val="2"/>
        <scheme val="minor"/>
      </rPr>
      <t>for associated pathogens.</t>
    </r>
  </si>
  <si>
    <r>
      <t xml:space="preserve">Tick </t>
    </r>
    <r>
      <rPr>
        <sz val="10"/>
        <color rgb="FF00B050"/>
        <rFont val="Arial"/>
        <family val="2"/>
        <scheme val="minor"/>
      </rPr>
      <t>infestation</t>
    </r>
    <r>
      <rPr>
        <sz val="10"/>
        <color rgb="FF000000"/>
        <rFont val="Arial"/>
        <family val="2"/>
        <scheme val="minor"/>
      </rPr>
      <t xml:space="preserve"> in shelters (1081; 77%) was higher than on hosts (323; 23%).</t>
    </r>
  </si>
  <si>
    <t>infestation</t>
  </si>
  <si>
    <t>infestation should be annoted as a biotic term</t>
  </si>
  <si>
    <r>
      <t xml:space="preserve">"An epidemiological study has shown that cumulative, village prevalence of </t>
    </r>
    <r>
      <rPr>
        <sz val="10"/>
        <color rgb="FFFF0000"/>
        <rFont val="Arial"/>
        <family val="2"/>
        <scheme val="minor"/>
      </rPr>
      <t>Leishmania (Viannia)</t>
    </r>
    <r>
      <rPr>
        <sz val="10"/>
        <color rgb="FF000000"/>
        <rFont val="Arial"/>
        <family val="2"/>
        <scheme val="minor"/>
      </rPr>
      <t xml:space="preserve"> </t>
    </r>
    <r>
      <rPr>
        <sz val="10"/>
        <color rgb="FF00B050"/>
        <rFont val="Arial"/>
        <family val="2"/>
        <scheme val="minor"/>
      </rPr>
      <t>infection</t>
    </r>
    <r>
      <rPr>
        <sz val="10"/>
        <color rgb="FF000000"/>
        <rFont val="Arial"/>
        <family val="2"/>
        <scheme val="minor"/>
      </rPr>
      <t xml:space="preserve"> in </t>
    </r>
    <r>
      <rPr>
        <sz val="10"/>
        <color rgb="FFFFC000"/>
        <rFont val="Arial"/>
        <family val="2"/>
        <scheme val="minor"/>
      </rPr>
      <t>dogs</t>
    </r>
    <r>
      <rPr>
        <sz val="10"/>
        <color rgb="FF000000"/>
        <rFont val="Arial"/>
        <family val="2"/>
        <scheme val="minor"/>
      </rPr>
      <t xml:space="preserve"> ranges from 8% to 45% in Hu\u00e1nuco, Peru."</t>
    </r>
  </si>
  <si>
    <t>Leishmania (Vianna)</t>
  </si>
  <si>
    <r>
      <t xml:space="preserve">The results suggest that </t>
    </r>
    <r>
      <rPr>
        <sz val="10"/>
        <color rgb="FFFF0000"/>
        <rFont val="Arial"/>
        <family val="2"/>
        <scheme val="minor"/>
      </rPr>
      <t>dogs</t>
    </r>
    <r>
      <rPr>
        <sz val="10"/>
        <color rgb="FF000000"/>
        <rFont val="Arial"/>
        <family val="2"/>
        <scheme val="minor"/>
      </rPr>
      <t xml:space="preserve"> play a role in the (peri)domestic </t>
    </r>
    <r>
      <rPr>
        <sz val="10"/>
        <color rgb="FF00B050"/>
        <rFont val="Arial"/>
        <family val="2"/>
        <scheme val="minor"/>
      </rPr>
      <t>transmission</t>
    </r>
    <r>
      <rPr>
        <sz val="10"/>
        <color rgb="FF000000"/>
        <rFont val="Arial"/>
        <family val="2"/>
        <scheme val="minor"/>
      </rPr>
      <t xml:space="preserve"> of</t>
    </r>
    <r>
      <rPr>
        <sz val="10"/>
        <color rgb="FFFF0000"/>
        <rFont val="Arial"/>
        <family val="2"/>
        <scheme val="minor"/>
      </rPr>
      <t xml:space="preserve"> Le. (Viannia)</t>
    </r>
    <r>
      <rPr>
        <sz val="10"/>
        <color rgb="FF000000"/>
        <rFont val="Arial"/>
        <family val="2"/>
        <scheme val="minor"/>
      </rPr>
      <t xml:space="preserve"> to </t>
    </r>
    <r>
      <rPr>
        <sz val="10"/>
        <color rgb="FFFFC000"/>
        <rFont val="Arial"/>
        <family val="2"/>
        <scheme val="minor"/>
      </rPr>
      <t>humans</t>
    </r>
    <r>
      <rPr>
        <sz val="10"/>
        <color rgb="FF000000"/>
        <rFont val="Arial"/>
        <family val="2"/>
        <scheme val="minor"/>
      </rPr>
      <t xml:space="preserve"> in Hu\u00e1nuco and indicate that a control intervention targeting dogs to control human ACL is warranted.</t>
    </r>
  </si>
  <si>
    <t>dogs, Viannia</t>
  </si>
  <si>
    <r>
      <rPr>
        <sz val="10"/>
        <color rgb="FFFF0000"/>
        <rFont val="Arial"/>
        <family val="2"/>
        <scheme val="minor"/>
      </rPr>
      <t>Aedes aegypti</t>
    </r>
    <r>
      <rPr>
        <sz val="10"/>
        <color rgb="FF000000"/>
        <rFont val="Arial"/>
        <family val="2"/>
        <scheme val="minor"/>
      </rPr>
      <t xml:space="preserve"> mosquitoes are the main </t>
    </r>
    <r>
      <rPr>
        <sz val="10"/>
        <color rgb="FF00B050"/>
        <rFont val="Arial"/>
        <family val="2"/>
        <scheme val="minor"/>
      </rPr>
      <t>vector of</t>
    </r>
    <r>
      <rPr>
        <sz val="10"/>
        <color rgb="FF000000"/>
        <rFont val="Arial"/>
        <family val="2"/>
        <scheme val="minor"/>
      </rPr>
      <t xml:space="preserve"> </t>
    </r>
    <r>
      <rPr>
        <sz val="10"/>
        <color rgb="FFFFC000"/>
        <rFont val="Arial"/>
        <family val="2"/>
        <scheme val="minor"/>
      </rPr>
      <t>human arbovirosis</t>
    </r>
    <r>
      <rPr>
        <sz val="10"/>
        <color rgb="FF000000"/>
        <rFont val="Arial"/>
        <family val="2"/>
        <scheme val="minor"/>
      </rPr>
      <t xml:space="preserve"> in tropical and subtropical areas.</t>
    </r>
  </si>
  <si>
    <t>Aeds aegypti</t>
  </si>
  <si>
    <t>human arbovirosis</t>
  </si>
  <si>
    <r>
      <t>The life cycle of</t>
    </r>
    <r>
      <rPr>
        <sz val="10"/>
        <color rgb="FFFF0000"/>
        <rFont val="Arial (Corps)"/>
      </rPr>
      <t xml:space="preserve"> E. multilocularis</t>
    </r>
    <r>
      <rPr>
        <sz val="10"/>
        <color rgb="FF000000"/>
        <rFont val="Arial"/>
        <family val="2"/>
        <scheme val="minor"/>
      </rPr>
      <t xml:space="preserve"> is </t>
    </r>
    <r>
      <rPr>
        <sz val="10"/>
        <color rgb="FF00B050"/>
        <rFont val="Arial (Corps)"/>
      </rPr>
      <t>maintained</t>
    </r>
    <r>
      <rPr>
        <sz val="10"/>
        <color rgb="FF000000"/>
        <rFont val="Arial"/>
        <family val="2"/>
        <scheme val="minor"/>
      </rPr>
      <t xml:space="preserve"> primarily in </t>
    </r>
    <r>
      <rPr>
        <sz val="10"/>
        <color theme="6" tint="-0.249977111117893"/>
        <rFont val="Arial (Corps)"/>
      </rPr>
      <t>wild animals</t>
    </r>
    <r>
      <rPr>
        <sz val="10"/>
        <color rgb="FF000000"/>
        <rFont val="Arial"/>
        <family val="2"/>
        <scheme val="minor"/>
      </rPr>
      <t xml:space="preserve"> and requires an intermediate host (mainly small mammals).</t>
    </r>
  </si>
  <si>
    <t xml:space="preserve">E. multilocularis </t>
  </si>
  <si>
    <t>wild animals</t>
  </si>
  <si>
    <r>
      <rPr>
        <sz val="10"/>
        <color rgb="FFFF0000"/>
        <rFont val="Arial (Corps)"/>
      </rPr>
      <t xml:space="preserve">Human </t>
    </r>
    <r>
      <rPr>
        <sz val="10"/>
        <color rgb="FF000000"/>
        <rFont val="Arial"/>
        <family val="2"/>
        <scheme val="minor"/>
      </rPr>
      <t xml:space="preserve">can become an intermediate host through accidental </t>
    </r>
    <r>
      <rPr>
        <sz val="10"/>
        <color rgb="FF00B050"/>
        <rFont val="Arial (Corps)"/>
      </rPr>
      <t>ingestion</t>
    </r>
    <r>
      <rPr>
        <sz val="10"/>
        <color rgb="FF000000"/>
        <rFont val="Arial"/>
        <family val="2"/>
        <scheme val="minor"/>
      </rPr>
      <t xml:space="preserve"> of </t>
    </r>
    <r>
      <rPr>
        <sz val="10"/>
        <color theme="6" tint="-0.249977111117893"/>
        <rFont val="Arial (Corps)"/>
      </rPr>
      <t>E. multilocularis eggs</t>
    </r>
    <r>
      <rPr>
        <sz val="10"/>
        <color rgb="FF000000"/>
        <rFont val="Arial"/>
        <family val="2"/>
        <scheme val="minor"/>
      </rPr>
      <t>.</t>
    </r>
  </si>
  <si>
    <t>ingestion</t>
  </si>
  <si>
    <t>E. multilocularis eggs</t>
  </si>
  <si>
    <t>ingestion should be annoted as a biotic term</t>
  </si>
  <si>
    <t>Verify DA checked/corrected</t>
  </si>
  <si>
    <r>
      <rPr>
        <sz val="10"/>
        <color rgb="FFFF0000"/>
        <rFont val="Arial (Corps)"/>
      </rPr>
      <t>Culicoides</t>
    </r>
    <r>
      <rPr>
        <sz val="10"/>
        <rFont val="Arial (Corps)"/>
      </rPr>
      <t xml:space="preserve"> spp</t>
    </r>
    <r>
      <rPr>
        <sz val="10"/>
        <rFont val="Arial"/>
        <family val="2"/>
        <scheme val="minor"/>
      </rPr>
      <t xml:space="preserve">. play an important role in the </t>
    </r>
    <r>
      <rPr>
        <sz val="10"/>
        <color rgb="FF00B050"/>
        <rFont val="Arial (Corps)"/>
      </rPr>
      <t>transmission</t>
    </r>
    <r>
      <rPr>
        <sz val="10"/>
        <color rgb="FF00B050"/>
        <rFont val="Arial"/>
        <family val="2"/>
        <scheme val="minor"/>
      </rPr>
      <t xml:space="preserve"> of</t>
    </r>
    <r>
      <rPr>
        <sz val="10"/>
        <rFont val="Arial"/>
        <family val="2"/>
        <scheme val="minor"/>
      </rPr>
      <t xml:space="preserve"> several </t>
    </r>
    <r>
      <rPr>
        <sz val="10"/>
        <rFont val="Arial (Corps)"/>
      </rPr>
      <t>vector-borne pathogens</t>
    </r>
    <r>
      <rPr>
        <sz val="10"/>
        <rFont val="Arial"/>
        <family val="2"/>
        <scheme val="minor"/>
      </rPr>
      <t xml:space="preserve"> such as </t>
    </r>
    <r>
      <rPr>
        <sz val="10"/>
        <color rgb="FFFFC000"/>
        <rFont val="Arial"/>
        <family val="2"/>
        <scheme val="minor"/>
      </rPr>
      <t>Bluetongue</t>
    </r>
    <r>
      <rPr>
        <sz val="10"/>
        <rFont val="Arial"/>
        <family val="2"/>
        <scheme val="minor"/>
      </rPr>
      <t xml:space="preserve"> and </t>
    </r>
    <r>
      <rPr>
        <sz val="10"/>
        <color rgb="FFFFC000"/>
        <rFont val="Arial"/>
        <family val="2"/>
        <scheme val="minor"/>
      </rPr>
      <t>Schmallenberg</t>
    </r>
    <r>
      <rPr>
        <sz val="10"/>
        <rFont val="Arial"/>
        <family val="2"/>
        <scheme val="minor"/>
      </rPr>
      <t xml:space="preserve"> </t>
    </r>
    <r>
      <rPr>
        <sz val="10"/>
        <color rgb="FFFFC000"/>
        <rFont val="Arial"/>
        <family val="2"/>
        <scheme val="minor"/>
      </rPr>
      <t>virus</t>
    </r>
    <r>
      <rPr>
        <sz val="10"/>
        <rFont val="Arial"/>
        <family val="2"/>
        <scheme val="minor"/>
      </rPr>
      <t xml:space="preserve"> in Europe.</t>
    </r>
  </si>
  <si>
    <t>Culicoides spp</t>
  </si>
  <si>
    <t>transmission of</t>
  </si>
  <si>
    <t>Bluetongue, Schmallenberg virus</t>
  </si>
  <si>
    <t>Bluetonhue and Schamellenberg should be annoted as a virus</t>
  </si>
  <si>
    <r>
      <t xml:space="preserve">preferential landing and feeding sites (study B) and host feeding preferences (study C) of </t>
    </r>
    <r>
      <rPr>
        <sz val="10"/>
        <color rgb="FFFF0000"/>
        <rFont val="Arial"/>
        <family val="2"/>
        <scheme val="minor"/>
      </rPr>
      <t>Culicoides</t>
    </r>
    <r>
      <rPr>
        <sz val="10"/>
        <color rgb="FF000000"/>
        <rFont val="Arial"/>
        <scheme val="minor"/>
      </rPr>
      <t xml:space="preserve"> spp. using </t>
    </r>
    <r>
      <rPr>
        <sz val="10"/>
        <color rgb="FFFFC000"/>
        <rFont val="Arial"/>
        <family val="2"/>
        <scheme val="minor"/>
      </rPr>
      <t>cattle</t>
    </r>
    <r>
      <rPr>
        <sz val="10"/>
        <color rgb="FF000000"/>
        <rFont val="Arial"/>
        <scheme val="minor"/>
      </rPr>
      <t xml:space="preserve"> and </t>
    </r>
    <r>
      <rPr>
        <sz val="10"/>
        <color rgb="FFFFC000"/>
        <rFont val="Arial"/>
        <family val="2"/>
        <scheme val="minor"/>
      </rPr>
      <t>sheep</t>
    </r>
    <r>
      <rPr>
        <sz val="10"/>
        <color rgb="FF000000"/>
        <rFont val="Arial"/>
        <scheme val="minor"/>
      </rPr>
      <t xml:space="preserve"> </t>
    </r>
    <r>
      <rPr>
        <sz val="10"/>
        <color rgb="FF00B050"/>
        <rFont val="Arial"/>
        <family val="2"/>
        <scheme val="minor"/>
      </rPr>
      <t>as baits</t>
    </r>
    <r>
      <rPr>
        <sz val="10"/>
        <color rgb="FF000000"/>
        <rFont val="Arial"/>
        <scheme val="minor"/>
      </rPr>
      <t>.</t>
    </r>
  </si>
  <si>
    <t>Cullicoides spp</t>
  </si>
  <si>
    <t>as baits</t>
  </si>
  <si>
    <t>cattle, sheep</t>
  </si>
  <si>
    <t>baits should be annoted as a biotic term</t>
  </si>
  <si>
    <t>Verify by MK</t>
  </si>
  <si>
    <r>
      <rPr>
        <sz val="10"/>
        <color rgb="FFFF0000"/>
        <rFont val="Arial (Corps)"/>
      </rPr>
      <t>Culicoides</t>
    </r>
    <r>
      <rPr>
        <sz val="10"/>
        <color rgb="FF000000"/>
        <rFont val="Arial"/>
        <family val="2"/>
        <scheme val="minor"/>
      </rPr>
      <t xml:space="preserve"> are vectors that can </t>
    </r>
    <r>
      <rPr>
        <sz val="10"/>
        <color rgb="FF00B050"/>
        <rFont val="Arial (Corps)"/>
      </rPr>
      <t>transmit</t>
    </r>
    <r>
      <rPr>
        <sz val="10"/>
        <color rgb="FF000000"/>
        <rFont val="Arial"/>
        <family val="2"/>
        <scheme val="minor"/>
      </rPr>
      <t xml:space="preserve"> many different pathogens to mammals — including </t>
    </r>
    <r>
      <rPr>
        <sz val="10"/>
        <color theme="6" tint="-0.249977111117893"/>
        <rFont val="Arial (Corps)"/>
      </rPr>
      <t>humans</t>
    </r>
    <r>
      <rPr>
        <sz val="10"/>
        <color rgb="FF000000"/>
        <rFont val="Arial"/>
        <family val="2"/>
        <scheme val="minor"/>
      </rPr>
      <t xml:space="preserve">, and </t>
    </r>
    <r>
      <rPr>
        <sz val="10"/>
        <color theme="6" tint="-0.249977111117893"/>
        <rFont val="Arial (Corps)"/>
      </rPr>
      <t>domestic</t>
    </r>
    <r>
      <rPr>
        <sz val="10"/>
        <color rgb="FF000000"/>
        <rFont val="Arial"/>
        <family val="2"/>
        <scheme val="minor"/>
      </rPr>
      <t xml:space="preserve"> and </t>
    </r>
    <r>
      <rPr>
        <sz val="10"/>
        <color theme="6" tint="-0.249977111117893"/>
        <rFont val="Arial (Corps)"/>
      </rPr>
      <t>wild</t>
    </r>
    <r>
      <rPr>
        <sz val="10"/>
        <color rgb="FF000000"/>
        <rFont val="Arial"/>
        <family val="2"/>
        <scheme val="minor"/>
      </rPr>
      <t xml:space="preserve"> </t>
    </r>
    <r>
      <rPr>
        <sz val="10"/>
        <color theme="6" tint="-0.249977111117893"/>
        <rFont val="Arial (Corps)"/>
      </rPr>
      <t>animals</t>
    </r>
    <r>
      <rPr>
        <sz val="10"/>
        <color rgb="FF000000"/>
        <rFont val="Arial"/>
        <family val="2"/>
        <scheme val="minor"/>
      </rPr>
      <t xml:space="preserve"> — and </t>
    </r>
    <r>
      <rPr>
        <sz val="10"/>
        <color theme="6" tint="-0.249977111117893"/>
        <rFont val="Arial (Corps)"/>
      </rPr>
      <t>birds</t>
    </r>
  </si>
  <si>
    <t>mammals, birds</t>
  </si>
  <si>
    <r>
      <t xml:space="preserve">In order to take preventive measures against any </t>
    </r>
    <r>
      <rPr>
        <sz val="10"/>
        <color rgb="FF00B050"/>
        <rFont val="Arial (Corps)"/>
      </rPr>
      <t>vector-borne disease</t>
    </r>
    <r>
      <rPr>
        <sz val="10"/>
        <color rgb="FF000000"/>
        <rFont val="Arial"/>
        <family val="2"/>
        <scheme val="minor"/>
      </rPr>
      <t xml:space="preserve">, it is important to gather information on both the </t>
    </r>
    <r>
      <rPr>
        <sz val="10"/>
        <color rgb="FFFF0000"/>
        <rFont val="Arial (Corps)"/>
      </rPr>
      <t>host</t>
    </r>
    <r>
      <rPr>
        <sz val="10"/>
        <color rgb="FF000000"/>
        <rFont val="Arial"/>
        <family val="2"/>
        <scheme val="minor"/>
      </rPr>
      <t xml:space="preserve"> and </t>
    </r>
    <r>
      <rPr>
        <sz val="10"/>
        <color theme="6" tint="-0.249977111117893"/>
        <rFont val="Arial (Corps)"/>
      </rPr>
      <t>vector species</t>
    </r>
    <r>
      <rPr>
        <sz val="10"/>
        <color rgb="FF000000"/>
        <rFont val="Arial"/>
        <family val="2"/>
        <scheme val="minor"/>
      </rPr>
      <t>.</t>
    </r>
  </si>
  <si>
    <t>vector-borne disease</t>
  </si>
  <si>
    <t>vector species</t>
  </si>
  <si>
    <r>
      <rPr>
        <sz val="10"/>
        <color rgb="FFFF0000"/>
        <rFont val="Arial (Corps)"/>
      </rPr>
      <t>Culicoides</t>
    </r>
    <r>
      <rPr>
        <sz val="10"/>
        <color rgb="FF000000"/>
        <rFont val="Arial"/>
        <family val="2"/>
        <scheme val="minor"/>
      </rPr>
      <t xml:space="preserve"> species are mainly mammalophilic, ornithophilic or ornithophilic/mammalophilic, but females have also been found to occasionally </t>
    </r>
    <r>
      <rPr>
        <sz val="10"/>
        <color rgb="FF00B050"/>
        <rFont val="Arial (Corps)"/>
      </rPr>
      <t>feed on</t>
    </r>
    <r>
      <rPr>
        <sz val="10"/>
        <color rgb="FF000000"/>
        <rFont val="Arial"/>
        <family val="2"/>
        <scheme val="minor"/>
      </rPr>
      <t xml:space="preserve"> engorged </t>
    </r>
    <r>
      <rPr>
        <sz val="10"/>
        <color theme="6" tint="-0.249977111117893"/>
        <rFont val="Arial (Corps)"/>
      </rPr>
      <t>insects</t>
    </r>
    <r>
      <rPr>
        <sz val="10"/>
        <color rgb="FF000000"/>
        <rFont val="Arial"/>
        <family val="2"/>
        <scheme val="minor"/>
      </rPr>
      <t>.</t>
    </r>
  </si>
  <si>
    <t>insects</t>
  </si>
  <si>
    <t>insect should be annoted as a species</t>
  </si>
  <si>
    <r>
      <t xml:space="preserve">Furthermore, our research used molecular and indirect investigations to analyse </t>
    </r>
    <r>
      <rPr>
        <sz val="10"/>
        <color rgb="FFFF0000"/>
        <rFont val="Arial (Corps)"/>
      </rPr>
      <t>Culicoides</t>
    </r>
    <r>
      <rPr>
        <sz val="10"/>
        <color rgb="FF000000"/>
        <rFont val="Arial"/>
        <family val="2"/>
        <scheme val="minor"/>
      </rPr>
      <t xml:space="preserve"> species that had been </t>
    </r>
    <r>
      <rPr>
        <sz val="10"/>
        <color rgb="FF00B050"/>
        <rFont val="Arial (Corps)"/>
      </rPr>
      <t>feeding on</t>
    </r>
    <r>
      <rPr>
        <sz val="10"/>
        <color rgb="FF000000"/>
        <rFont val="Arial"/>
        <family val="2"/>
        <scheme val="minor"/>
      </rPr>
      <t xml:space="preserve"> </t>
    </r>
    <r>
      <rPr>
        <sz val="10"/>
        <color theme="6" tint="-0.249977111117893"/>
        <rFont val="Arial (Corps)"/>
      </rPr>
      <t>cattle</t>
    </r>
    <r>
      <rPr>
        <sz val="10"/>
        <color rgb="FF000000"/>
        <rFont val="Arial"/>
        <family val="2"/>
        <scheme val="minor"/>
      </rPr>
      <t xml:space="preserve">. </t>
    </r>
  </si>
  <si>
    <r>
      <t xml:space="preserve">Our results demonstrate that 45 </t>
    </r>
    <r>
      <rPr>
        <sz val="10"/>
        <color rgb="FFFF0000"/>
        <rFont val="Arial (Corps)"/>
      </rPr>
      <t>species</t>
    </r>
    <r>
      <rPr>
        <sz val="10"/>
        <color rgb="FF000000"/>
        <rFont val="Arial"/>
        <family val="2"/>
        <scheme val="minor"/>
      </rPr>
      <t xml:space="preserve"> </t>
    </r>
    <r>
      <rPr>
        <sz val="10"/>
        <color rgb="FF00B050"/>
        <rFont val="Arial (Corps)"/>
      </rPr>
      <t>feed on</t>
    </r>
    <r>
      <rPr>
        <sz val="10"/>
        <color rgb="FF000000"/>
        <rFont val="Arial"/>
        <family val="2"/>
        <scheme val="minor"/>
      </rPr>
      <t xml:space="preserve"> </t>
    </r>
    <r>
      <rPr>
        <sz val="10"/>
        <color theme="6" tint="-0.249977111117893"/>
        <rFont val="Arial (Corps)"/>
      </rPr>
      <t>cattle</t>
    </r>
    <r>
      <rPr>
        <sz val="10"/>
        <color rgb="FF000000"/>
        <rFont val="Arial"/>
        <family val="2"/>
        <scheme val="minor"/>
      </rPr>
      <t xml:space="preserve"> out of 92 species present in France</t>
    </r>
  </si>
  <si>
    <t>species</t>
  </si>
  <si>
    <t xml:space="preserve">In order to take preventive measures against any vector-borne disease, it is important to gather information on both the host and vector species. </t>
  </si>
  <si>
    <t>no biotic interaction (btw species) X</t>
  </si>
  <si>
    <t>The paper discusses the relevance of data in the literature when investigating hosts of Culicoides species.</t>
  </si>
  <si>
    <r>
      <t xml:space="preserve">So, a second objective is to re-evaluate the </t>
    </r>
    <r>
      <rPr>
        <sz val="10"/>
        <color rgb="FF00B050"/>
        <rFont val="Arial"/>
        <family val="2"/>
        <scheme val="minor"/>
      </rPr>
      <t>presence of</t>
    </r>
    <r>
      <rPr>
        <sz val="10"/>
        <color rgb="FF000000"/>
        <rFont val="Arial"/>
        <family val="2"/>
        <scheme val="minor"/>
      </rPr>
      <t xml:space="preserve"> </t>
    </r>
    <r>
      <rPr>
        <sz val="10"/>
        <color rgb="FFFF0000"/>
        <rFont val="Arial"/>
        <family val="2"/>
        <scheme val="minor"/>
      </rPr>
      <t>Culicoides</t>
    </r>
    <r>
      <rPr>
        <sz val="10"/>
        <color rgb="FF000000"/>
        <rFont val="Arial"/>
        <family val="2"/>
        <scheme val="minor"/>
      </rPr>
      <t xml:space="preserve"> spp. in </t>
    </r>
    <r>
      <rPr>
        <sz val="10"/>
        <color rgb="FFFFC000"/>
        <rFont val="Arial"/>
        <family val="2"/>
        <scheme val="minor"/>
      </rPr>
      <t>cattle</t>
    </r>
    <r>
      <rPr>
        <sz val="10"/>
        <color rgb="FF000000"/>
        <rFont val="Arial"/>
        <family val="2"/>
        <scheme val="minor"/>
      </rPr>
      <t xml:space="preserve"> in France.</t>
    </r>
  </si>
  <si>
    <r>
      <t xml:space="preserve">The light trap is not suited for </t>
    </r>
    <r>
      <rPr>
        <sz val="10"/>
        <color rgb="FFFF0000"/>
        <rFont val="Arial"/>
        <family val="2"/>
        <scheme val="minor"/>
      </rPr>
      <t>midges</t>
    </r>
    <r>
      <rPr>
        <sz val="10"/>
        <color rgb="FF000000"/>
        <rFont val="Arial"/>
        <family val="2"/>
        <scheme val="minor"/>
      </rPr>
      <t xml:space="preserve"> </t>
    </r>
    <r>
      <rPr>
        <sz val="10"/>
        <color rgb="FF00B050"/>
        <rFont val="Arial"/>
        <family val="2"/>
        <scheme val="minor"/>
      </rPr>
      <t>feeding on</t>
    </r>
    <r>
      <rPr>
        <sz val="10"/>
        <color rgb="FF000000"/>
        <rFont val="Arial"/>
        <family val="2"/>
        <scheme val="minor"/>
      </rPr>
      <t xml:space="preserve"> an </t>
    </r>
    <r>
      <rPr>
        <sz val="10"/>
        <color rgb="FFFFC000"/>
        <rFont val="Arial"/>
        <family val="2"/>
        <scheme val="minor"/>
      </rPr>
      <t>animal</t>
    </r>
    <r>
      <rPr>
        <sz val="10"/>
        <color rgb="FF000000"/>
        <rFont val="Arial"/>
        <family val="2"/>
        <scheme val="minor"/>
      </rPr>
      <t xml:space="preserve"> (42).</t>
    </r>
  </si>
  <si>
    <t>midges</t>
  </si>
  <si>
    <t>animal</t>
  </si>
  <si>
    <t>animal should be annoted as a species, midge should be annoted as a species</t>
  </si>
  <si>
    <r>
      <rPr>
        <sz val="10"/>
        <color rgb="FFFF0000"/>
        <rFont val="Arial (Corps)"/>
      </rPr>
      <t>human</t>
    </r>
    <r>
      <rPr>
        <sz val="10"/>
        <color rgb="FF000000"/>
        <rFont val="Arial"/>
        <family val="2"/>
        <scheme val="minor"/>
      </rPr>
      <t xml:space="preserve"> cases induced by </t>
    </r>
    <r>
      <rPr>
        <sz val="10"/>
        <color theme="6" tint="-0.249977111117893"/>
        <rFont val="Arial (Corps)"/>
      </rPr>
      <t>sheep</t>
    </r>
    <r>
      <rPr>
        <sz val="10"/>
        <color rgb="FF000000"/>
        <rFont val="Arial"/>
        <family val="2"/>
        <scheme val="minor"/>
      </rPr>
      <t xml:space="preserve">-related </t>
    </r>
    <r>
      <rPr>
        <sz val="10"/>
        <color rgb="FF00B050"/>
        <rFont val="Arial (Corps)"/>
      </rPr>
      <t>contacts</t>
    </r>
    <r>
      <rPr>
        <sz val="10"/>
        <color rgb="FF000000"/>
        <rFont val="Arial"/>
        <family val="2"/>
        <scheme val="minor"/>
      </rPr>
      <t>;</t>
    </r>
  </si>
  <si>
    <t>contacts</t>
  </si>
  <si>
    <t>contacts should be annoted as a biotic term, sheep should be annoted as a species</t>
  </si>
  <si>
    <r>
      <rPr>
        <sz val="10"/>
        <color rgb="FFFF0000"/>
        <rFont val="Arial (Corps)"/>
      </rPr>
      <t>cattle</t>
    </r>
    <r>
      <rPr>
        <sz val="10"/>
        <color rgb="FF000000"/>
        <rFont val="Arial"/>
        <family val="2"/>
        <scheme val="minor"/>
      </rPr>
      <t xml:space="preserve"> and </t>
    </r>
    <r>
      <rPr>
        <sz val="10"/>
        <color theme="6" tint="-0.249977111117893"/>
        <rFont val="Arial (Corps)"/>
      </rPr>
      <t>sheep</t>
    </r>
    <r>
      <rPr>
        <sz val="10"/>
        <color rgb="FF000000"/>
        <rFont val="Arial"/>
        <family val="2"/>
        <scheme val="minor"/>
      </rPr>
      <t xml:space="preserve"> that </t>
    </r>
    <r>
      <rPr>
        <sz val="10"/>
        <color rgb="FF00B050"/>
        <rFont val="Arial (Corps)"/>
      </rPr>
      <t>infected</t>
    </r>
    <r>
      <rPr>
        <sz val="10"/>
        <color rgb="FF000000"/>
        <rFont val="Arial"/>
        <family val="2"/>
        <scheme val="minor"/>
      </rPr>
      <t xml:space="preserve"> one another.</t>
    </r>
  </si>
  <si>
    <t>infected</t>
  </si>
  <si>
    <t>infected should be annoted as a biotic term, sheep should be annoted as a species</t>
  </si>
  <si>
    <t>PMC9952982</t>
  </si>
  <si>
    <r>
      <rPr>
        <sz val="10"/>
        <rFont val="Arial"/>
        <family val="2"/>
        <scheme val="minor"/>
      </rPr>
      <t xml:space="preserve">Diseases caused by </t>
    </r>
    <r>
      <rPr>
        <sz val="10"/>
        <color rgb="FFFF0000"/>
        <rFont val="Arial"/>
        <family val="2"/>
        <scheme val="minor"/>
      </rPr>
      <t>Salmonella</t>
    </r>
    <r>
      <rPr>
        <sz val="10"/>
        <rFont val="Arial"/>
        <family val="2"/>
        <scheme val="minor"/>
      </rPr>
      <t xml:space="preserve"> </t>
    </r>
    <r>
      <rPr>
        <sz val="10"/>
        <color theme="7"/>
        <rFont val="Arial"/>
        <family val="2"/>
        <scheme val="minor"/>
      </rPr>
      <t>infection</t>
    </r>
    <r>
      <rPr>
        <sz val="10"/>
        <rFont val="Arial"/>
        <family val="2"/>
        <scheme val="minor"/>
      </rPr>
      <t xml:space="preserve"> via vertical
</t>
    </r>
    <r>
      <rPr>
        <sz val="10"/>
        <color theme="7"/>
        <rFont val="Arial"/>
        <family val="2"/>
        <scheme val="minor"/>
      </rPr>
      <t>transmission</t>
    </r>
    <r>
      <rPr>
        <sz val="10"/>
        <rFont val="Arial"/>
        <family val="2"/>
        <scheme val="minor"/>
      </rPr>
      <t xml:space="preserve"> continue to pose a highly significant 
threat to both</t>
    </r>
    <r>
      <rPr>
        <sz val="10"/>
        <color theme="6"/>
        <rFont val="Arial"/>
        <family val="2"/>
        <scheme val="minor"/>
      </rPr>
      <t xml:space="preserve"> human and animals</t>
    </r>
  </si>
  <si>
    <t>infection - transmission</t>
  </si>
  <si>
    <t>human and animals</t>
  </si>
  <si>
    <r>
      <t xml:space="preserve">More importantly, phage treatment significantly 
decreased the </t>
    </r>
    <r>
      <rPr>
        <sz val="10"/>
        <color rgb="FFFF0000"/>
        <rFont val="Arial"/>
        <family val="2"/>
        <scheme val="minor"/>
      </rPr>
      <t>Salmonella-specific</t>
    </r>
    <r>
      <rPr>
        <sz val="10"/>
        <color rgb="FF000000"/>
        <rFont val="Arial"/>
        <family val="2"/>
        <scheme val="minor"/>
      </rPr>
      <t xml:space="preserve"> IgG level in serum 
of </t>
    </r>
    <r>
      <rPr>
        <sz val="10"/>
        <color rgb="FF00B050"/>
        <rFont val="Arial"/>
        <family val="2"/>
        <scheme val="minor"/>
      </rPr>
      <t>infected</t>
    </r>
    <r>
      <rPr>
        <sz val="10"/>
        <color rgb="FF000000"/>
        <rFont val="Arial"/>
        <family val="2"/>
        <scheme val="minor"/>
      </rPr>
      <t xml:space="preserve"> </t>
    </r>
    <r>
      <rPr>
        <sz val="10"/>
        <color rgb="FFFFC000"/>
        <rFont val="Arial"/>
        <family val="2"/>
        <scheme val="minor"/>
      </rPr>
      <t>chickens</t>
    </r>
    <r>
      <rPr>
        <sz val="10"/>
        <color rgb="FF000000"/>
        <rFont val="Arial"/>
        <family val="2"/>
        <scheme val="minor"/>
      </rPr>
      <t xml:space="preserve">, and reduced the bacterial load
 in eggshells and liquid whole eggs, thus decreasing
 the probability of vertical </t>
    </r>
    <r>
      <rPr>
        <sz val="10"/>
        <color rgb="FF00B050"/>
        <rFont val="Arial"/>
        <family val="2"/>
        <scheme val="minor"/>
      </rPr>
      <t>transmission</t>
    </r>
    <r>
      <rPr>
        <sz val="10"/>
        <color rgb="FF000000"/>
        <rFont val="Arial"/>
        <family val="2"/>
        <scheme val="minor"/>
      </rPr>
      <t xml:space="preserve"> of 
</t>
    </r>
    <r>
      <rPr>
        <sz val="10"/>
        <color theme="5"/>
        <rFont val="Arial"/>
        <family val="2"/>
        <scheme val="minor"/>
      </rPr>
      <t>S. Pullorum</t>
    </r>
    <r>
      <rPr>
        <sz val="10"/>
        <color rgb="FF000000"/>
        <rFont val="Arial"/>
        <family val="2"/>
        <scheme val="minor"/>
      </rPr>
      <t xml:space="preserve"> in </t>
    </r>
    <r>
      <rPr>
        <sz val="10"/>
        <color rgb="FFFFC000"/>
        <rFont val="Arial"/>
        <family val="2"/>
        <scheme val="minor"/>
      </rPr>
      <t>poultry</t>
    </r>
    <r>
      <rPr>
        <sz val="10"/>
        <color rgb="FF000000"/>
        <rFont val="Arial"/>
        <family val="2"/>
        <scheme val="minor"/>
      </rPr>
      <t>.</t>
    </r>
  </si>
  <si>
    <t>Salmonella-specifi -- 
S. Pullorum</t>
  </si>
  <si>
    <t>infected - transmission</t>
  </si>
  <si>
    <t>chickens - poultry</t>
  </si>
  <si>
    <r>
      <t xml:space="preserve">In addition, the total </t>
    </r>
    <r>
      <rPr>
        <sz val="10"/>
        <color rgb="FFFF0000"/>
        <rFont val="Arial"/>
        <family val="2"/>
        <scheme val="minor"/>
      </rPr>
      <t>bacterial</t>
    </r>
    <r>
      <rPr>
        <sz val="10"/>
        <color rgb="FF000000"/>
        <rFont val="Arial"/>
        <family val="2"/>
        <scheme val="minor"/>
      </rPr>
      <t xml:space="preserve"> </t>
    </r>
    <r>
      <rPr>
        <sz val="10"/>
        <color rgb="FF00B050"/>
        <rFont val="Arial"/>
        <family val="2"/>
        <scheme val="minor"/>
      </rPr>
      <t>load</t>
    </r>
    <r>
      <rPr>
        <sz val="10"/>
        <color rgb="FF000000"/>
        <rFont val="Arial"/>
        <family val="2"/>
        <scheme val="minor"/>
      </rPr>
      <t xml:space="preserve"> in the </t>
    </r>
    <r>
      <rPr>
        <sz val="10"/>
        <color rgb="FFFFC000"/>
        <rFont val="Arial"/>
        <family val="2"/>
        <scheme val="minor"/>
      </rPr>
      <t>poultry</t>
    </r>
    <r>
      <rPr>
        <sz val="10"/>
        <color rgb="FF000000"/>
        <rFont val="Arial"/>
        <family val="2"/>
        <scheme val="minor"/>
      </rPr>
      <t xml:space="preserve"> breeding environment was also significantly reduced after phage therapy, probably due to the decrease in the </t>
    </r>
    <r>
      <rPr>
        <sz val="10"/>
        <color rgb="FFFF0000"/>
        <rFont val="Arial"/>
        <family val="2"/>
        <scheme val="minor"/>
      </rPr>
      <t>Salmonella</t>
    </r>
    <r>
      <rPr>
        <sz val="10"/>
        <color rgb="FF000000"/>
        <rFont val="Arial"/>
        <family val="2"/>
        <scheme val="minor"/>
      </rPr>
      <t xml:space="preserve"> load in cecal contents and </t>
    </r>
    <r>
      <rPr>
        <sz val="10"/>
        <color rgb="FF00B050"/>
        <rFont val="Arial"/>
        <family val="2"/>
        <scheme val="minor"/>
      </rPr>
      <t>restoration</t>
    </r>
    <r>
      <rPr>
        <sz val="10"/>
        <color rgb="FF000000"/>
        <rFont val="Arial"/>
        <family val="2"/>
        <scheme val="minor"/>
      </rPr>
      <t xml:space="preserve">
of the intestinal microbiome in </t>
    </r>
    <r>
      <rPr>
        <sz val="10"/>
        <color rgb="FFFFC000"/>
        <rFont val="Arial"/>
        <family val="2"/>
        <scheme val="minor"/>
      </rPr>
      <t>chickens</t>
    </r>
    <r>
      <rPr>
        <sz val="10"/>
        <color rgb="FF000000"/>
        <rFont val="Arial"/>
        <family val="2"/>
        <scheme val="minor"/>
      </rPr>
      <t>.</t>
    </r>
  </si>
  <si>
    <t>bacterial - Salmonella</t>
  </si>
  <si>
    <t>load - restoration</t>
  </si>
  <si>
    <t>poultry - chickens</t>
  </si>
  <si>
    <r>
      <rPr>
        <sz val="10"/>
        <color rgb="FF00B050"/>
        <rFont val="Arial"/>
        <family val="2"/>
        <scheme val="minor"/>
      </rPr>
      <t>Contaminated</t>
    </r>
    <r>
      <rPr>
        <sz val="10"/>
        <color rgb="FF000000"/>
        <rFont val="Arial"/>
        <family val="2"/>
        <scheme val="minor"/>
      </rPr>
      <t xml:space="preserve"> </t>
    </r>
    <r>
      <rPr>
        <sz val="10"/>
        <color rgb="FFFFC000"/>
        <rFont val="Arial"/>
        <family val="2"/>
        <scheme val="minor"/>
      </rPr>
      <t>poultry eggs</t>
    </r>
    <r>
      <rPr>
        <sz val="10"/>
        <color rgb="FF000000"/>
        <rFont val="Arial"/>
        <family val="2"/>
        <scheme val="minor"/>
      </rPr>
      <t xml:space="preserve"> and meat products are
the major sources of </t>
    </r>
    <r>
      <rPr>
        <sz val="10"/>
        <color rgb="FFFF0000"/>
        <rFont val="Arial"/>
        <family val="2"/>
        <scheme val="minor"/>
      </rPr>
      <t>human</t>
    </r>
    <r>
      <rPr>
        <sz val="10"/>
        <color rgb="FF000000"/>
        <rFont val="Arial"/>
        <family val="2"/>
        <scheme val="minor"/>
      </rPr>
      <t xml:space="preserve"> </t>
    </r>
    <r>
      <rPr>
        <sz val="10"/>
        <rFont val="Arial"/>
        <family val="2"/>
        <scheme val="minor"/>
      </rPr>
      <t>Salmonella</t>
    </r>
    <r>
      <rPr>
        <sz val="10"/>
        <color rgb="FF000000"/>
        <rFont val="Arial"/>
        <family val="2"/>
        <scheme val="minor"/>
      </rPr>
      <t xml:space="preserve"> infection</t>
    </r>
  </si>
  <si>
    <t>poultry egg</t>
  </si>
  <si>
    <t>contaminated</t>
  </si>
  <si>
    <t>contaminated should be annoted as a biotic term, poultry egg should be annoted as a species</t>
  </si>
  <si>
    <r>
      <t xml:space="preserve">Vaccination of chickens and supplementation of feed 
additives like prebiotics, probiotics, postbiotics,
synbiotics, and bacteriophages are currently being
used to mitigate the </t>
    </r>
    <r>
      <rPr>
        <sz val="10"/>
        <color rgb="FFFF0000"/>
        <rFont val="Arial"/>
        <family val="2"/>
        <scheme val="minor"/>
      </rPr>
      <t>Salmonella</t>
    </r>
    <r>
      <rPr>
        <sz val="10"/>
        <rFont val="Arial"/>
        <family val="2"/>
        <scheme val="minor"/>
      </rPr>
      <t xml:space="preserve"> load in </t>
    </r>
    <r>
      <rPr>
        <sz val="10"/>
        <color rgb="FFFFC000"/>
        <rFont val="Arial"/>
        <family val="2"/>
        <scheme val="minor"/>
      </rPr>
      <t>poultry</t>
    </r>
  </si>
  <si>
    <t xml:space="preserve"> poultry</t>
  </si>
  <si>
    <t>poultry egg should be annoted as a species</t>
  </si>
  <si>
    <t>Verifed by LK, X checked/corrected</t>
  </si>
  <si>
    <r>
      <t xml:space="preserve">Tularemia or rabbit fever is a </t>
    </r>
    <r>
      <rPr>
        <sz val="10"/>
        <color rgb="FF00B050"/>
        <rFont val="Arial"/>
        <family val="2"/>
        <scheme val="minor"/>
      </rPr>
      <t>transmissible</t>
    </r>
    <r>
      <rPr>
        <sz val="10"/>
        <color rgb="FF000000"/>
        <rFont val="Arial"/>
        <family val="2"/>
        <scheme val="minor"/>
      </rPr>
      <t xml:space="preserve"> disease
</t>
    </r>
    <r>
      <rPr>
        <sz val="10"/>
        <color rgb="FFFF0000"/>
        <rFont val="Arial"/>
        <family val="2"/>
        <scheme val="minor"/>
      </rPr>
      <t>from animals</t>
    </r>
    <r>
      <rPr>
        <sz val="10"/>
        <color rgb="FF000000"/>
        <rFont val="Arial"/>
        <family val="2"/>
        <scheme val="minor"/>
      </rPr>
      <t xml:space="preserve">, rodents, and insects </t>
    </r>
    <r>
      <rPr>
        <sz val="10"/>
        <color rgb="FFFFC000"/>
        <rFont val="Arial"/>
        <family val="2"/>
        <scheme val="minor"/>
      </rPr>
      <t>to human</t>
    </r>
    <r>
      <rPr>
        <sz val="10"/>
        <color rgb="FF000000"/>
        <rFont val="Arial"/>
        <family val="2"/>
        <scheme val="minor"/>
      </rPr>
      <t xml:space="preserve"> populations that is caused by </t>
    </r>
    <r>
      <rPr>
        <sz val="10"/>
        <color rgb="FFFF0000"/>
        <rFont val="Arial"/>
        <family val="2"/>
        <scheme val="minor"/>
      </rPr>
      <t>Francisella tularensis.</t>
    </r>
  </si>
  <si>
    <t>Francisella tularensis -
from animals</t>
  </si>
  <si>
    <t>transmissible to</t>
  </si>
  <si>
    <t>to human</t>
  </si>
  <si>
    <t>insect, animal should be annoted as a species, transmissible to should be annoted as a biotic term</t>
  </si>
  <si>
    <r>
      <t xml:space="preserve">Tularemia or rabbit fever is a </t>
    </r>
    <r>
      <rPr>
        <sz val="10"/>
        <color rgb="FF00B050"/>
        <rFont val="Arial"/>
      </rPr>
      <t>transmissible</t>
    </r>
    <r>
      <rPr>
        <sz val="10"/>
        <color rgb="FF000000"/>
        <rFont val="Arial"/>
        <family val="2"/>
      </rPr>
      <t xml:space="preserve"> disease from </t>
    </r>
    <r>
      <rPr>
        <sz val="10"/>
        <color rgb="FFFF0000"/>
        <rFont val="Arial"/>
      </rPr>
      <t>animals</t>
    </r>
    <r>
      <rPr>
        <sz val="10"/>
        <color rgb="FF000000"/>
        <rFont val="Arial"/>
        <family val="2"/>
      </rPr>
      <t xml:space="preserve">, </t>
    </r>
    <r>
      <rPr>
        <sz val="10"/>
        <color rgb="FFFF0000"/>
        <rFont val="Arial"/>
      </rPr>
      <t>rodents</t>
    </r>
    <r>
      <rPr>
        <sz val="10"/>
        <color rgb="FF000000"/>
        <rFont val="Arial"/>
        <family val="2"/>
      </rPr>
      <t xml:space="preserve">, and </t>
    </r>
    <r>
      <rPr>
        <sz val="10"/>
        <color rgb="FFFF0000"/>
        <rFont val="Arial"/>
      </rPr>
      <t>insects</t>
    </r>
    <r>
      <rPr>
        <sz val="10"/>
        <color rgb="FF000000"/>
        <rFont val="Arial"/>
        <family val="2"/>
      </rPr>
      <t xml:space="preserve"> to </t>
    </r>
    <r>
      <rPr>
        <sz val="10"/>
        <color rgb="FFBC8E03"/>
        <rFont val="Arial"/>
      </rPr>
      <t>human</t>
    </r>
    <r>
      <rPr>
        <sz val="10"/>
        <color rgb="FF000000"/>
        <rFont val="Arial"/>
        <family val="2"/>
      </rPr>
      <t xml:space="preserve"> populations that is caused by Francisella tularensis. </t>
    </r>
  </si>
  <si>
    <t>animals, rodents, instects</t>
  </si>
  <si>
    <t>transmissible</t>
  </si>
  <si>
    <r>
      <rPr>
        <sz val="10"/>
        <color rgb="FFFF0000"/>
        <rFont val="Arial"/>
        <family val="2"/>
        <scheme val="minor"/>
      </rPr>
      <t>Small mammals</t>
    </r>
    <r>
      <rPr>
        <sz val="10"/>
        <color rgb="FF000000"/>
        <rFont val="Arial"/>
        <family val="2"/>
        <scheme val="minor"/>
      </rPr>
      <t xml:space="preserve"> like rabbits, hares, and muskrats 
are primary sources of </t>
    </r>
    <r>
      <rPr>
        <sz val="10"/>
        <color rgb="FFFFC000"/>
        <rFont val="Arial"/>
        <family val="2"/>
        <scheme val="minor"/>
      </rPr>
      <t>human</t>
    </r>
    <r>
      <rPr>
        <sz val="10"/>
        <color rgb="FF000000"/>
        <rFont val="Arial"/>
        <family val="2"/>
        <scheme val="minor"/>
      </rPr>
      <t xml:space="preserve"> </t>
    </r>
    <r>
      <rPr>
        <sz val="10"/>
        <color rgb="FF00B050"/>
        <rFont val="Arial"/>
        <family val="2"/>
        <scheme val="minor"/>
      </rPr>
      <t>infections</t>
    </r>
    <r>
      <rPr>
        <sz val="10"/>
        <color rgb="FF000000"/>
        <rFont val="Arial"/>
        <family val="2"/>
        <scheme val="minor"/>
      </rPr>
      <t>,
 but true reservoir of F. tularensis is unknown</t>
    </r>
  </si>
  <si>
    <t>Small mammals</t>
  </si>
  <si>
    <r>
      <rPr>
        <sz val="10"/>
        <color rgb="FFFF0000"/>
        <rFont val="Arial"/>
        <family val="2"/>
        <scheme val="minor"/>
      </rPr>
      <t>Brucella abortus</t>
    </r>
    <r>
      <rPr>
        <sz val="10"/>
        <color rgb="FF000000"/>
        <rFont val="Arial"/>
        <family val="2"/>
        <scheme val="minor"/>
      </rPr>
      <t xml:space="preserve"> is a globally important zoonotic pathogen largely found in </t>
    </r>
    <r>
      <rPr>
        <sz val="10"/>
        <color rgb="FF00B050"/>
        <rFont val="Arial"/>
        <family val="2"/>
        <scheme val="minor"/>
      </rPr>
      <t>cattle hosts</t>
    </r>
    <r>
      <rPr>
        <sz val="10"/>
        <color rgb="FF000000"/>
        <rFont val="Arial"/>
        <family val="2"/>
        <scheme val="minor"/>
      </rPr>
      <t xml:space="preserve"> and is typically </t>
    </r>
    <r>
      <rPr>
        <sz val="10"/>
        <color rgb="FF00B050"/>
        <rFont val="Arial"/>
        <family val="2"/>
        <scheme val="minor"/>
      </rPr>
      <t>transmitted to</t>
    </r>
    <r>
      <rPr>
        <sz val="10"/>
        <color rgb="FF000000"/>
        <rFont val="Arial"/>
        <family val="2"/>
        <scheme val="minor"/>
      </rPr>
      <t xml:space="preserve"> </t>
    </r>
    <r>
      <rPr>
        <sz val="10"/>
        <color rgb="FFFFC000"/>
        <rFont val="Arial"/>
        <family val="2"/>
        <scheme val="minor"/>
      </rPr>
      <t>humans</t>
    </r>
    <r>
      <rPr>
        <sz val="10"/>
        <color rgb="FF000000"/>
        <rFont val="Arial"/>
        <family val="2"/>
        <scheme val="minor"/>
      </rPr>
      <t xml:space="preserve"> through contaminated dairy products or </t>
    </r>
    <r>
      <rPr>
        <sz val="10"/>
        <color rgb="FF00B050"/>
        <rFont val="Arial"/>
        <family val="2"/>
        <scheme val="minor"/>
      </rPr>
      <t>contact</t>
    </r>
    <r>
      <rPr>
        <sz val="10"/>
        <color rgb="FF000000"/>
        <rFont val="Arial"/>
        <family val="2"/>
        <scheme val="minor"/>
      </rPr>
      <t xml:space="preserve"> with diseased animals.</t>
    </r>
  </si>
  <si>
    <t>cattle hosts, transmitted to, contact</t>
  </si>
  <si>
    <r>
      <t xml:space="preserve">Finally, the fourth major clade, </t>
    </r>
    <r>
      <rPr>
        <sz val="10"/>
        <color rgb="FFFF0000"/>
        <rFont val="Arial"/>
        <family val="2"/>
        <scheme val="minor"/>
      </rPr>
      <t>clade D</t>
    </r>
    <r>
      <rPr>
        <sz val="10"/>
        <color rgb="FF000000"/>
        <rFont val="Arial"/>
        <family val="2"/>
        <scheme val="minor"/>
      </rPr>
      <t xml:space="preserve"> (median date 1467 CE; 95% HPD, 1367\u20131553 CE) comprises the large majority of genomes in a dominant but relatively monomorphic group that predominantly </t>
    </r>
    <r>
      <rPr>
        <sz val="10"/>
        <color rgb="FF00B050"/>
        <rFont val="Arial"/>
        <family val="2"/>
        <scheme val="minor"/>
      </rPr>
      <t>infects</t>
    </r>
    <r>
      <rPr>
        <sz val="10"/>
        <color rgb="FF000000"/>
        <rFont val="Arial"/>
        <family val="2"/>
        <scheme val="minor"/>
      </rPr>
      <t xml:space="preserve"> </t>
    </r>
    <r>
      <rPr>
        <sz val="10"/>
        <color rgb="FFFFC000"/>
        <rFont val="Arial"/>
        <family val="2"/>
        <scheme val="minor"/>
      </rPr>
      <t>cattle</t>
    </r>
    <r>
      <rPr>
        <sz val="10"/>
        <color rgb="FF000000"/>
        <rFont val="Arial"/>
        <family val="2"/>
        <scheme val="minor"/>
      </rPr>
      <t xml:space="preserve"> in Europe and the Americas.</t>
    </r>
  </si>
  <si>
    <t>clade D</t>
  </si>
  <si>
    <t>infects</t>
  </si>
  <si>
    <t xml:space="preserve"> "clade D" should be annoted as a species</t>
  </si>
  <si>
    <r>
      <t xml:space="preserve">We hypothesize that European arrival to the Americas starting in the 15th century introduced B. abortus from Western Europe through the introduction of a few common </t>
    </r>
    <r>
      <rPr>
        <sz val="10"/>
        <color rgb="FFFF0000"/>
        <rFont val="Arial"/>
        <family val="2"/>
        <scheme val="minor"/>
      </rPr>
      <t>cattle</t>
    </r>
    <r>
      <rPr>
        <sz val="10"/>
        <color rgb="FF000000"/>
        <rFont val="Arial"/>
        <family val="2"/>
        <scheme val="minor"/>
      </rPr>
      <t xml:space="preserve"> breeds </t>
    </r>
    <r>
      <rPr>
        <sz val="10"/>
        <color rgb="FF00B050"/>
        <rFont val="Arial"/>
        <family val="2"/>
        <scheme val="minor"/>
      </rPr>
      <t>infected</t>
    </r>
    <r>
      <rPr>
        <sz val="10"/>
        <color rgb="FF000000"/>
        <rFont val="Arial"/>
        <family val="2"/>
        <scheme val="minor"/>
      </rPr>
      <t xml:space="preserve"> with strains from </t>
    </r>
    <r>
      <rPr>
        <sz val="10"/>
        <color rgb="FFFFC000"/>
        <rFont val="Arial"/>
        <family val="2"/>
        <scheme val="minor"/>
      </rPr>
      <t>clade D</t>
    </r>
    <r>
      <rPr>
        <sz val="10"/>
        <color rgb="FF000000"/>
        <rFont val="Arial"/>
        <family val="2"/>
        <scheme val="minor"/>
      </rPr>
      <t>.</t>
    </r>
  </si>
  <si>
    <t>inected</t>
  </si>
  <si>
    <r>
      <t xml:space="preserve">Despite the long, </t>
    </r>
    <r>
      <rPr>
        <sz val="10"/>
        <color rgb="FF00B050"/>
        <rFont val="Arial"/>
        <family val="2"/>
        <scheme val="minor"/>
      </rPr>
      <t>shared</t>
    </r>
    <r>
      <rPr>
        <sz val="10"/>
        <color rgb="FF000000"/>
        <rFont val="Arial"/>
        <family val="2"/>
        <scheme val="minor"/>
      </rPr>
      <t xml:space="preserve"> history of </t>
    </r>
    <r>
      <rPr>
        <sz val="10"/>
        <color rgb="FFFF0000"/>
        <rFont val="Arial"/>
        <family val="2"/>
        <scheme val="minor"/>
      </rPr>
      <t>cattle</t>
    </r>
    <r>
      <rPr>
        <sz val="10"/>
        <color rgb="FF000000"/>
        <rFont val="Arial"/>
        <family val="2"/>
        <scheme val="minor"/>
      </rPr>
      <t xml:space="preserve"> and </t>
    </r>
    <r>
      <rPr>
        <sz val="10"/>
        <color rgb="FFFFC000"/>
        <rFont val="Arial"/>
        <family val="2"/>
        <scheme val="minor"/>
      </rPr>
      <t>humans</t>
    </r>
    <r>
      <rPr>
        <sz val="10"/>
        <color rgb="FF000000"/>
        <rFont val="Arial"/>
        <family val="2"/>
        <scheme val="minor"/>
      </rPr>
      <t>, little is known about how trade in cattle has spread this pathogen throughout the world</t>
    </r>
  </si>
  <si>
    <r>
      <t xml:space="preserve">The genus </t>
    </r>
    <r>
      <rPr>
        <sz val="10"/>
        <color rgb="FFFF0000"/>
        <rFont val="Arial Unicode MS"/>
        <family val="2"/>
      </rPr>
      <t>Bartonella</t>
    </r>
    <r>
      <rPr>
        <sz val="10"/>
        <color rgb="FF000000"/>
        <rFont val="Arial Unicode MS"/>
        <family val="2"/>
      </rPr>
      <t xml:space="preserve"> encompasses 38 validated species of Gram-negative, facultative intracellular bacteria that </t>
    </r>
    <r>
      <rPr>
        <sz val="10"/>
        <color rgb="FF00B050"/>
        <rFont val="Arial Unicode MS"/>
        <family val="2"/>
      </rPr>
      <t>colonize</t>
    </r>
    <r>
      <rPr>
        <sz val="10"/>
        <color rgb="FF000000"/>
        <rFont val="Arial Unicode MS"/>
        <family val="2"/>
      </rPr>
      <t xml:space="preserve"> the endothelial cells and erythrocytes of a wide spectrum of </t>
    </r>
    <r>
      <rPr>
        <sz val="10"/>
        <color rgb="FFFFC000"/>
        <rFont val="Arial Unicode MS"/>
        <family val="2"/>
      </rPr>
      <t>mammals</t>
    </r>
    <r>
      <rPr>
        <sz val="10"/>
        <color rgb="FF000000"/>
        <rFont val="Arial Unicode MS"/>
        <family val="2"/>
      </rPr>
      <t>.</t>
    </r>
  </si>
  <si>
    <t>colonize</t>
  </si>
  <si>
    <t>"colonize" should be annoted as a biotic term</t>
  </si>
  <si>
    <r>
      <t xml:space="preserve">To date, 12 </t>
    </r>
    <r>
      <rPr>
        <sz val="10"/>
        <color rgb="FFFF0000"/>
        <rFont val="Arial"/>
        <family val="2"/>
        <scheme val="minor"/>
      </rPr>
      <t>Bartonella</t>
    </r>
    <r>
      <rPr>
        <sz val="10"/>
        <color rgb="FF000000"/>
        <rFont val="Arial"/>
        <family val="2"/>
        <scheme val="minor"/>
      </rPr>
      <t xml:space="preserve"> species have been recorded </t>
    </r>
    <r>
      <rPr>
        <sz val="10"/>
        <color rgb="FF00B050"/>
        <rFont val="Arial"/>
        <family val="2"/>
        <scheme val="minor"/>
      </rPr>
      <t>infecting</t>
    </r>
    <r>
      <rPr>
        <sz val="10"/>
        <color rgb="FF000000"/>
        <rFont val="Arial"/>
        <family val="2"/>
        <scheme val="minor"/>
      </rPr>
      <t xml:space="preserve"> </t>
    </r>
    <r>
      <rPr>
        <sz val="10"/>
        <color rgb="FFFFC000"/>
        <rFont val="Arial"/>
        <family val="2"/>
        <scheme val="minor"/>
      </rPr>
      <t>humans</t>
    </r>
    <r>
      <rPr>
        <sz val="10"/>
        <color rgb="FF000000"/>
        <rFont val="Arial"/>
        <family val="2"/>
        <scheme val="minor"/>
      </rPr>
      <t>, causing diseases of long historical characterization, such as cat scratch fever and trench fever, and emerging bartonellosis that mainly affect animal health professionals</t>
    </r>
  </si>
  <si>
    <r>
      <t xml:space="preserve">For this reason, this study aimed to report a documented case of </t>
    </r>
    <r>
      <rPr>
        <sz val="10"/>
        <color rgb="FFFF0000"/>
        <rFont val="Arial"/>
        <family val="2"/>
        <scheme val="minor"/>
      </rPr>
      <t>Bartonella bovis</t>
    </r>
    <r>
      <rPr>
        <sz val="10"/>
        <color rgb="FF000000"/>
        <rFont val="Arial"/>
        <family val="2"/>
        <scheme val="minor"/>
      </rPr>
      <t xml:space="preserve"> </t>
    </r>
    <r>
      <rPr>
        <sz val="10"/>
        <color rgb="FF00B050"/>
        <rFont val="Arial"/>
        <family val="2"/>
        <scheme val="minor"/>
      </rPr>
      <t>infecting</t>
    </r>
    <r>
      <rPr>
        <sz val="10"/>
        <color rgb="FF000000"/>
        <rFont val="Arial"/>
        <family val="2"/>
        <scheme val="minor"/>
      </rPr>
      <t xml:space="preserve"> a </t>
    </r>
    <r>
      <rPr>
        <sz val="10"/>
        <color rgb="FFFFC000"/>
        <rFont val="Arial"/>
        <family val="2"/>
        <scheme val="minor"/>
      </rPr>
      <t>veterinarian</t>
    </r>
    <r>
      <rPr>
        <sz val="10"/>
        <color rgb="FF000000"/>
        <rFont val="Arial"/>
        <family val="2"/>
        <scheme val="minor"/>
      </rPr>
      <t xml:space="preserve"> from Mexico by the amplification, sequencing and phylogenetic reconstruction of the citrate synthase (gltA) and the RNA polymerase beta-subunit (rpoB) genes, and to report the natural course of this infection. </t>
    </r>
  </si>
  <si>
    <t>veterinarian</t>
  </si>
  <si>
    <t>"veterinarian" should be annoted as a species</t>
  </si>
  <si>
    <r>
      <t xml:space="preserve">To our knowledge, this work is the first to report the </t>
    </r>
    <r>
      <rPr>
        <sz val="10"/>
        <color rgb="FF00B050"/>
        <rFont val="Arial"/>
        <family val="2"/>
        <scheme val="minor"/>
      </rPr>
      <t>transmission of</t>
    </r>
    <r>
      <rPr>
        <sz val="10"/>
        <color rgb="FF000000"/>
        <rFont val="Arial"/>
        <family val="2"/>
        <scheme val="minor"/>
      </rPr>
      <t xml:space="preserve"> </t>
    </r>
    <r>
      <rPr>
        <sz val="10"/>
        <color rgb="FFFF0000"/>
        <rFont val="Arial"/>
        <family val="2"/>
        <scheme val="minor"/>
      </rPr>
      <t>B. bovis</t>
    </r>
    <r>
      <rPr>
        <sz val="10"/>
        <color rgb="FF000000"/>
        <rFont val="Arial"/>
        <family val="2"/>
        <scheme val="minor"/>
      </rPr>
      <t xml:space="preserve"> via needlestick </t>
    </r>
    <r>
      <rPr>
        <sz val="10"/>
        <color rgb="FF00B050"/>
        <rFont val="Arial"/>
        <family val="2"/>
        <scheme val="minor"/>
      </rPr>
      <t>transmission to</t>
    </r>
    <r>
      <rPr>
        <sz val="10"/>
        <color rgb="FF000000"/>
        <rFont val="Arial"/>
        <family val="2"/>
        <scheme val="minor"/>
      </rPr>
      <t xml:space="preserve"> </t>
    </r>
    <r>
      <rPr>
        <sz val="10"/>
        <color rgb="FFFFC000"/>
        <rFont val="Arial"/>
        <family val="2"/>
        <scheme val="minor"/>
      </rPr>
      <t>animal health workers</t>
    </r>
    <r>
      <rPr>
        <sz val="10"/>
        <color rgb="FF000000"/>
        <rFont val="Arial"/>
        <family val="2"/>
        <scheme val="minor"/>
      </rPr>
      <t xml:space="preserve"> in Latin America.</t>
    </r>
  </si>
  <si>
    <t>transmission to</t>
  </si>
  <si>
    <t>animal health workers</t>
  </si>
  <si>
    <t>"animal health workers" should be annoted as a species</t>
  </si>
  <si>
    <r>
      <t xml:space="preserve">Tungiasis ensues from </t>
    </r>
    <r>
      <rPr>
        <sz val="10"/>
        <color rgb="FF00B050"/>
        <rFont val="Arial Unicode MS"/>
        <family val="2"/>
      </rPr>
      <t>the penetration and burrowing of</t>
    </r>
    <r>
      <rPr>
        <sz val="10"/>
        <color rgb="FF000000"/>
        <rFont val="Arial Unicode MS"/>
        <family val="2"/>
      </rPr>
      <t xml:space="preserve"> female</t>
    </r>
    <r>
      <rPr>
        <sz val="10"/>
        <color rgb="FFFF0000"/>
        <rFont val="Arial Unicode MS"/>
        <family val="2"/>
      </rPr>
      <t xml:space="preserve"> sand fleas</t>
    </r>
    <r>
      <rPr>
        <sz val="10"/>
        <color rgb="FF000000"/>
        <rFont val="Arial Unicode MS"/>
        <family val="2"/>
      </rPr>
      <t xml:space="preserve"> (Tunga spp.; Siphonaptera: Tungidae) in the skin of </t>
    </r>
    <r>
      <rPr>
        <sz val="10"/>
        <color rgb="FFFFC000"/>
        <rFont val="Arial Unicode MS"/>
        <family val="2"/>
      </rPr>
      <t>mammals</t>
    </r>
    <r>
      <rPr>
        <sz val="10"/>
        <color rgb="FF000000"/>
        <rFont val="Arial Unicode MS"/>
        <family val="2"/>
      </rPr>
      <t>.</t>
    </r>
  </si>
  <si>
    <t>sand fleas</t>
  </si>
  <si>
    <t>penetration of, burrowing of</t>
  </si>
  <si>
    <t>penetration of, burrowing of should be annoted as a biotic term</t>
  </si>
  <si>
    <r>
      <t xml:space="preserve">T. </t>
    </r>
    <r>
      <rPr>
        <sz val="10"/>
        <color rgb="FFC00000"/>
        <rFont val="Arial Unicode MS"/>
        <family val="2"/>
      </rPr>
      <t>trimamillata</t>
    </r>
    <r>
      <rPr>
        <sz val="10"/>
        <color rgb="FF000000"/>
        <rFont val="Arial Unicode MS"/>
        <family val="2"/>
      </rPr>
      <t xml:space="preserve"> and T. </t>
    </r>
    <r>
      <rPr>
        <sz val="10"/>
        <color rgb="FFC00000"/>
        <rFont val="Arial Unicode MS"/>
        <family val="2"/>
      </rPr>
      <t>hexalobulata</t>
    </r>
    <r>
      <rPr>
        <sz val="10"/>
        <color rgb="FF000000"/>
        <rFont val="Arial Unicode MS"/>
        <family val="2"/>
      </rPr>
      <t xml:space="preserve">, which have been reported only in South America, are the main </t>
    </r>
    <r>
      <rPr>
        <sz val="10"/>
        <color rgb="FFFF0000"/>
        <rFont val="Arial Unicode MS"/>
        <family val="2"/>
      </rPr>
      <t>sand flea</t>
    </r>
    <r>
      <rPr>
        <sz val="10"/>
        <color rgb="FF000000"/>
        <rFont val="Arial Unicode MS"/>
        <family val="2"/>
      </rPr>
      <t xml:space="preserve"> species </t>
    </r>
    <r>
      <rPr>
        <sz val="10"/>
        <color rgb="FF00B050"/>
        <rFont val="Arial Unicode MS"/>
        <family val="2"/>
      </rPr>
      <t>affecting</t>
    </r>
    <r>
      <rPr>
        <sz val="10"/>
        <color rgb="FF000000"/>
        <rFont val="Arial Unicode MS"/>
        <family val="2"/>
      </rPr>
      <t xml:space="preserve"> domestic </t>
    </r>
    <r>
      <rPr>
        <sz val="10"/>
        <color rgb="FFFFC000"/>
        <rFont val="Arial Unicode MS"/>
        <family val="2"/>
      </rPr>
      <t>ruminants</t>
    </r>
  </si>
  <si>
    <t>trimamillata, hexalobulata, sand flea</t>
  </si>
  <si>
    <t>domestic ruminants</t>
  </si>
  <si>
    <t>all of these terms should be annoted</t>
  </si>
  <si>
    <r>
      <t xml:space="preserve">There are few reported cases of </t>
    </r>
    <r>
      <rPr>
        <sz val="10"/>
        <color rgb="FFFF0000"/>
        <rFont val="Arial Unicode MS"/>
        <family val="2"/>
      </rPr>
      <t>goats</t>
    </r>
    <r>
      <rPr>
        <sz val="10"/>
        <color rgb="FF000000"/>
        <rFont val="Arial Unicode MS"/>
        <family val="2"/>
      </rPr>
      <t xml:space="preserve"> </t>
    </r>
    <r>
      <rPr>
        <sz val="10"/>
        <color rgb="FF00B050"/>
        <rFont val="Arial Unicode MS"/>
        <family val="2"/>
      </rPr>
      <t>infected</t>
    </r>
    <r>
      <rPr>
        <sz val="10"/>
        <color rgb="FF000000"/>
        <rFont val="Arial Unicode MS"/>
        <family val="2"/>
      </rPr>
      <t xml:space="preserve"> by T. </t>
    </r>
    <r>
      <rPr>
        <sz val="10"/>
        <color rgb="FFFFC000"/>
        <rFont val="Arial Unicode MS"/>
        <family val="2"/>
      </rPr>
      <t>penetrans</t>
    </r>
    <r>
      <rPr>
        <sz val="10"/>
        <color rgb="FF000000"/>
        <rFont val="Arial Unicode MS"/>
        <family val="2"/>
      </rPr>
      <t>, of which, very few have presented with severe morbidity (Pampiglione et al. 2009) and all are exclusively from South America (Trentini et al. 2000, Gustinelli et al. 2006).</t>
    </r>
  </si>
  <si>
    <t>infected by</t>
  </si>
  <si>
    <t>T.penetrans</t>
  </si>
  <si>
    <t>infected by should be annoted as a biotic term</t>
  </si>
  <si>
    <r>
      <t xml:space="preserve">The objective of this study was to evaluate the effectiveness of sarolaner for the treatment </t>
    </r>
    <r>
      <rPr>
        <sz val="10"/>
        <color rgb="FFFF0000"/>
        <rFont val="Arial"/>
        <family val="2"/>
        <scheme val="minor"/>
      </rPr>
      <t>dogs</t>
    </r>
    <r>
      <rPr>
        <sz val="10"/>
        <color rgb="FF000000"/>
        <rFont val="Arial"/>
        <family val="2"/>
        <scheme val="minor"/>
      </rPr>
      <t xml:space="preserve"> naturally </t>
    </r>
    <r>
      <rPr>
        <sz val="10"/>
        <color rgb="FF00B050"/>
        <rFont val="Arial"/>
        <family val="2"/>
        <scheme val="minor"/>
      </rPr>
      <t>infested by</t>
    </r>
    <r>
      <rPr>
        <sz val="10"/>
        <color rgb="FF000000"/>
        <rFont val="Arial"/>
        <family val="2"/>
        <scheme val="minor"/>
      </rPr>
      <t xml:space="preserve"> </t>
    </r>
    <r>
      <rPr>
        <sz val="10"/>
        <color rgb="FFFFC000"/>
        <rFont val="Arial"/>
        <family val="2"/>
        <scheme val="minor"/>
      </rPr>
      <t>Tunga spp.</t>
    </r>
    <r>
      <rPr>
        <sz val="10"/>
        <color rgb="FF000000"/>
        <rFont val="Arial"/>
        <family val="2"/>
        <scheme val="minor"/>
      </rPr>
      <t xml:space="preserve"> kept in the same infested environment.</t>
    </r>
  </si>
  <si>
    <t>infested by</t>
  </si>
  <si>
    <t>Tunga spp.</t>
  </si>
  <si>
    <r>
      <t xml:space="preserve">A total of 8.2% of flies caught outside a broiler house in Denmark had the potential to </t>
    </r>
    <r>
      <rPr>
        <sz val="10"/>
        <color rgb="FF00B050"/>
        <rFont val="Arial"/>
        <family val="2"/>
        <scheme val="minor"/>
      </rPr>
      <t>transmit</t>
    </r>
    <r>
      <rPr>
        <sz val="10"/>
        <color rgb="FF000000"/>
        <rFont val="Arial"/>
        <family val="2"/>
        <scheme val="minor"/>
      </rPr>
      <t xml:space="preserve"> </t>
    </r>
    <r>
      <rPr>
        <sz val="10"/>
        <color rgb="FFFF0000"/>
        <rFont val="Arial"/>
        <family val="2"/>
        <scheme val="minor"/>
      </rPr>
      <t xml:space="preserve">Campylobacter jejuni </t>
    </r>
    <r>
      <rPr>
        <sz val="10"/>
        <color rgb="FF000000"/>
        <rFont val="Arial"/>
        <family val="2"/>
        <scheme val="minor"/>
      </rPr>
      <t xml:space="preserve">to </t>
    </r>
    <r>
      <rPr>
        <sz val="10"/>
        <color rgb="FFFFC000"/>
        <rFont val="Arial"/>
        <family val="2"/>
        <scheme val="minor"/>
      </rPr>
      <t>chickens</t>
    </r>
    <r>
      <rPr>
        <sz val="10"/>
        <color rgb="FF000000"/>
        <rFont val="Arial"/>
        <family val="2"/>
        <scheme val="minor"/>
      </rPr>
      <t>, and hundreds of flies per day passed through the ventilation system into the broiler house.</t>
    </r>
  </si>
  <si>
    <t>transmit to</t>
  </si>
  <si>
    <r>
      <t xml:space="preserve">Our study suggests that flies may be an important source of </t>
    </r>
    <r>
      <rPr>
        <sz val="10"/>
        <color rgb="FFFF0000"/>
        <rFont val="Arial"/>
        <family val="2"/>
        <scheme val="minor"/>
      </rPr>
      <t>Campylobacter</t>
    </r>
    <r>
      <rPr>
        <sz val="10"/>
        <color rgb="FF000000"/>
        <rFont val="Arial"/>
        <family val="2"/>
        <scheme val="minor"/>
      </rPr>
      <t xml:space="preserve"> </t>
    </r>
    <r>
      <rPr>
        <sz val="10"/>
        <color rgb="FF00B050"/>
        <rFont val="Arial"/>
        <family val="2"/>
        <scheme val="minor"/>
      </rPr>
      <t>infection of</t>
    </r>
    <r>
      <rPr>
        <sz val="10"/>
        <color rgb="FF000000"/>
        <rFont val="Arial"/>
        <family val="2"/>
        <scheme val="minor"/>
      </rPr>
      <t xml:space="preserve"> </t>
    </r>
    <r>
      <rPr>
        <sz val="10"/>
        <color rgb="FFFFC000"/>
        <rFont val="Arial"/>
        <family val="2"/>
        <scheme val="minor"/>
      </rPr>
      <t>broiler flocks</t>
    </r>
    <r>
      <rPr>
        <sz val="10"/>
        <color rgb="FF000000"/>
        <rFont val="Arial"/>
        <family val="2"/>
        <scheme val="minor"/>
      </rPr>
      <t xml:space="preserve"> in summer.</t>
    </r>
  </si>
  <si>
    <t>infection of</t>
  </si>
  <si>
    <t xml:space="preserve">broiler </t>
  </si>
  <si>
    <t>should be annoted as a species</t>
  </si>
  <si>
    <t>Verifed by MK</t>
  </si>
  <si>
    <r>
      <rPr>
        <sz val="10"/>
        <color rgb="FFFF0000"/>
        <rFont val="Arial"/>
        <family val="2"/>
        <scheme val="minor"/>
      </rPr>
      <t>Cowpox</t>
    </r>
    <r>
      <rPr>
        <sz val="10"/>
        <color rgb="FF000000"/>
        <rFont val="Arial"/>
        <family val="2"/>
        <scheme val="minor"/>
      </rPr>
      <t xml:space="preserve"> is a zoonotic dermatitis </t>
    </r>
    <r>
      <rPr>
        <sz val="10"/>
        <color rgb="FF00B050"/>
        <rFont val="Arial"/>
        <family val="2"/>
        <scheme val="minor"/>
      </rPr>
      <t>affecting</t>
    </r>
    <r>
      <rPr>
        <sz val="10"/>
        <color rgb="FF000000"/>
        <rFont val="Arial"/>
        <family val="2"/>
        <scheme val="minor"/>
      </rPr>
      <t xml:space="preserve">, despite its name, mainly </t>
    </r>
    <r>
      <rPr>
        <sz val="10"/>
        <color rgb="FFFFC000"/>
        <rFont val="Arial"/>
        <family val="2"/>
        <scheme val="minor"/>
      </rPr>
      <t>cats</t>
    </r>
    <r>
      <rPr>
        <sz val="10"/>
        <color rgb="FF000000"/>
        <rFont val="Arial"/>
        <family val="2"/>
        <scheme val="minor"/>
      </rPr>
      <t xml:space="preserve"> and </t>
    </r>
    <r>
      <rPr>
        <sz val="10"/>
        <color rgb="FFFFC000"/>
        <rFont val="Arial"/>
        <family val="2"/>
        <scheme val="minor"/>
      </rPr>
      <t>humans</t>
    </r>
  </si>
  <si>
    <t>cowpox</t>
  </si>
  <si>
    <t>cats, humans</t>
  </si>
  <si>
    <r>
      <t xml:space="preserve">The </t>
    </r>
    <r>
      <rPr>
        <sz val="10"/>
        <color rgb="FF00B050"/>
        <rFont val="Arial"/>
        <family val="2"/>
        <scheme val="minor"/>
      </rPr>
      <t>reservoir</t>
    </r>
    <r>
      <rPr>
        <sz val="10"/>
        <color rgb="FF000000"/>
        <rFont val="Arial"/>
        <family val="2"/>
        <scheme val="minor"/>
      </rPr>
      <t xml:space="preserve"> </t>
    </r>
    <r>
      <rPr>
        <sz val="10"/>
        <color rgb="FF00B050"/>
        <rFont val="Arial"/>
        <family val="2"/>
        <scheme val="minor"/>
      </rPr>
      <t>hosts of</t>
    </r>
    <r>
      <rPr>
        <sz val="10"/>
        <color rgb="FF000000"/>
        <rFont val="Arial"/>
        <family val="2"/>
        <scheme val="minor"/>
      </rPr>
      <t xml:space="preserve"> </t>
    </r>
    <r>
      <rPr>
        <sz val="10"/>
        <color rgb="FFFF0000"/>
        <rFont val="Arial"/>
        <family val="2"/>
        <scheme val="minor"/>
      </rPr>
      <t>cowpox</t>
    </r>
    <r>
      <rPr>
        <sz val="10"/>
        <color rgb="FF000000"/>
        <rFont val="Arial"/>
        <family val="2"/>
        <scheme val="minor"/>
      </rPr>
      <t xml:space="preserve"> are wild </t>
    </r>
    <r>
      <rPr>
        <sz val="10"/>
        <color rgb="FFFFC000"/>
        <rFont val="Arial"/>
        <family val="2"/>
        <scheme val="minor"/>
      </rPr>
      <t>rodents</t>
    </r>
    <r>
      <rPr>
        <sz val="10"/>
        <color rgb="FF000000"/>
        <rFont val="Arial"/>
        <family val="2"/>
        <scheme val="minor"/>
      </rPr>
      <t xml:space="preserve"> (7);</t>
    </r>
  </si>
  <si>
    <t>reservoir hosts of</t>
  </si>
  <si>
    <r>
      <t xml:space="preserve">; </t>
    </r>
    <r>
      <rPr>
        <sz val="10"/>
        <color rgb="FFFF0000"/>
        <rFont val="Arial"/>
        <family val="2"/>
        <scheme val="minor"/>
      </rPr>
      <t>wild rodents</t>
    </r>
    <r>
      <rPr>
        <sz val="10"/>
        <color rgb="FF000000"/>
        <rFont val="Arial"/>
        <family val="2"/>
        <scheme val="minor"/>
      </rPr>
      <t xml:space="preserve"> may </t>
    </r>
    <r>
      <rPr>
        <sz val="10"/>
        <color rgb="FF00B050"/>
        <rFont val="Arial"/>
        <family val="2"/>
        <scheme val="minor"/>
      </rPr>
      <t>transmit</t>
    </r>
    <r>
      <rPr>
        <sz val="10"/>
        <color rgb="FF000000"/>
        <rFont val="Arial"/>
        <family val="2"/>
        <scheme val="minor"/>
      </rPr>
      <t xml:space="preserve"> the virus </t>
    </r>
    <r>
      <rPr>
        <sz val="10"/>
        <color rgb="FF00B050"/>
        <rFont val="Arial"/>
        <family val="2"/>
        <scheme val="minor"/>
      </rPr>
      <t>to</t>
    </r>
    <r>
      <rPr>
        <sz val="10"/>
        <color rgb="FF000000"/>
        <rFont val="Arial"/>
        <family val="2"/>
        <scheme val="minor"/>
      </rPr>
      <t xml:space="preserve"> </t>
    </r>
    <r>
      <rPr>
        <sz val="10"/>
        <color rgb="FFFFC000"/>
        <rFont val="Arial"/>
        <family val="2"/>
        <scheme val="minor"/>
      </rPr>
      <t>humans</t>
    </r>
    <r>
      <rPr>
        <sz val="10"/>
        <color rgb="FF000000"/>
        <rFont val="Arial"/>
        <family val="2"/>
        <scheme val="minor"/>
      </rPr>
      <t xml:space="preserve"> through cats (5) or other pets that roam outside.</t>
    </r>
  </si>
  <si>
    <r>
      <t>Direct t</t>
    </r>
    <r>
      <rPr>
        <sz val="10"/>
        <color rgb="FF00B050"/>
        <rFont val="Arial"/>
        <family val="2"/>
        <scheme val="minor"/>
      </rPr>
      <t>ransmission from</t>
    </r>
    <r>
      <rPr>
        <sz val="10"/>
        <color rgb="FF000000"/>
        <rFont val="Arial"/>
        <family val="2"/>
        <scheme val="minor"/>
      </rPr>
      <t xml:space="preserve"> a </t>
    </r>
    <r>
      <rPr>
        <sz val="10"/>
        <color rgb="FFFF0000"/>
        <rFont val="Arial"/>
        <family val="2"/>
        <scheme val="minor"/>
      </rPr>
      <t>rodent</t>
    </r>
    <r>
      <rPr>
        <sz val="10"/>
        <color rgb="FF000000"/>
        <rFont val="Arial"/>
        <family val="2"/>
        <scheme val="minor"/>
      </rPr>
      <t xml:space="preserve"> </t>
    </r>
    <r>
      <rPr>
        <sz val="10"/>
        <color rgb="FF00B050"/>
        <rFont val="Arial"/>
        <family val="2"/>
        <scheme val="minor"/>
      </rPr>
      <t>to</t>
    </r>
    <r>
      <rPr>
        <sz val="10"/>
        <color rgb="FF000000"/>
        <rFont val="Arial"/>
        <family val="2"/>
        <scheme val="minor"/>
      </rPr>
      <t xml:space="preserve"> </t>
    </r>
    <r>
      <rPr>
        <sz val="10"/>
        <color rgb="FFFFC000"/>
        <rFont val="Arial"/>
        <family val="2"/>
        <scheme val="minor"/>
      </rPr>
      <t>a gir</t>
    </r>
    <r>
      <rPr>
        <sz val="10"/>
        <color rgb="FF000000"/>
        <rFont val="Arial"/>
        <family val="2"/>
        <scheme val="minor"/>
      </rPr>
      <t>l has been recently described (8).</t>
    </r>
  </si>
  <si>
    <t xml:space="preserve"> transmission from…to</t>
  </si>
  <si>
    <t>girl</t>
  </si>
  <si>
    <t>girl should be annoted as a species</t>
  </si>
  <si>
    <t>The disease is caused by cowpox virus, a close relative to vaccinia, smallpox (variola), and monkeypox viruses within the Orthopoxvirus genus (1).</t>
  </si>
  <si>
    <t xml:space="preserve">relative to should be not annoted,  no biotic interaction (btw species) </t>
  </si>
  <si>
    <r>
      <t xml:space="preserve">Both </t>
    </r>
    <r>
      <rPr>
        <sz val="10"/>
        <color rgb="FFFF0000"/>
        <rFont val="Arial"/>
        <family val="2"/>
        <scheme val="minor"/>
      </rPr>
      <t>cowpox</t>
    </r>
    <r>
      <rPr>
        <sz val="10"/>
        <color rgb="FF000000"/>
        <rFont val="Arial"/>
        <family val="2"/>
        <scheme val="minor"/>
      </rPr>
      <t xml:space="preserve"> and </t>
    </r>
    <r>
      <rPr>
        <sz val="10"/>
        <color rgb="FFFF0000"/>
        <rFont val="Arial"/>
        <family val="2"/>
        <scheme val="minor"/>
      </rPr>
      <t>monkeypox</t>
    </r>
    <r>
      <rPr>
        <sz val="10"/>
        <color rgb="FF000000"/>
        <rFont val="Arial"/>
        <family val="2"/>
        <scheme val="minor"/>
      </rPr>
      <t xml:space="preserve">, which was recently </t>
    </r>
    <r>
      <rPr>
        <sz val="10"/>
        <color rgb="FF00B050"/>
        <rFont val="Arial"/>
        <family val="2"/>
        <scheme val="minor"/>
      </rPr>
      <t>transmitted</t>
    </r>
    <r>
      <rPr>
        <sz val="10"/>
        <color rgb="FF000000"/>
        <rFont val="Arial"/>
        <family val="2"/>
        <scheme val="minor"/>
      </rPr>
      <t xml:space="preserve"> </t>
    </r>
    <r>
      <rPr>
        <sz val="10"/>
        <color rgb="FF00B050"/>
        <rFont val="Arial"/>
        <family val="2"/>
        <scheme val="minor"/>
      </rPr>
      <t>to</t>
    </r>
    <r>
      <rPr>
        <sz val="10"/>
        <color rgb="FF000000"/>
        <rFont val="Arial"/>
        <family val="2"/>
        <scheme val="minor"/>
      </rPr>
      <t xml:space="preserve"> the United States by transport of </t>
    </r>
    <r>
      <rPr>
        <sz val="10"/>
        <color rgb="FFFFC000"/>
        <rFont val="Arial"/>
        <family val="2"/>
        <scheme val="minor"/>
      </rPr>
      <t>animals indigenous</t>
    </r>
    <r>
      <rPr>
        <sz val="10"/>
        <color rgb="FF000000"/>
        <rFont val="Arial"/>
        <family val="2"/>
        <scheme val="minor"/>
      </rPr>
      <t xml:space="preserve"> to Africa (9), are actually orthopoxviruses of their </t>
    </r>
    <r>
      <rPr>
        <sz val="10"/>
        <color rgb="FFFFC000"/>
        <rFont val="Arial"/>
        <family val="2"/>
        <scheme val="minor"/>
      </rPr>
      <t xml:space="preserve">reservoir rodents </t>
    </r>
    <r>
      <rPr>
        <sz val="10"/>
        <color rgb="FF000000"/>
        <rFont val="Arial"/>
        <family val="2"/>
        <scheme val="minor"/>
      </rPr>
      <t>and are not well adapted to interhuman spread (1)</t>
    </r>
  </si>
  <si>
    <t>cowpox, monkeypox</t>
  </si>
  <si>
    <t>transmitted to</t>
  </si>
  <si>
    <t>animals, rodent</t>
  </si>
  <si>
    <t>adapted to should not be annoted, monkeypox should be annoted as a virus, animals should be annoted as a species</t>
  </si>
  <si>
    <r>
      <t xml:space="preserve">Even if not reservoirs, </t>
    </r>
    <r>
      <rPr>
        <sz val="10"/>
        <color rgb="FFFFC000"/>
        <rFont val="Arial"/>
        <family val="2"/>
        <scheme val="minor"/>
      </rPr>
      <t>dogs</t>
    </r>
    <r>
      <rPr>
        <sz val="10"/>
        <color rgb="FF000000"/>
        <rFont val="Arial"/>
        <family val="2"/>
        <scheme val="minor"/>
      </rPr>
      <t xml:space="preserve"> might be of significance in </t>
    </r>
    <r>
      <rPr>
        <sz val="10"/>
        <color rgb="FFFF0000"/>
        <rFont val="Arial"/>
        <family val="2"/>
        <scheme val="minor"/>
      </rPr>
      <t>human</t>
    </r>
    <r>
      <rPr>
        <sz val="10"/>
        <color rgb="FF000000"/>
        <rFont val="Arial"/>
        <family val="2"/>
        <scheme val="minor"/>
      </rPr>
      <t xml:space="preserve"> </t>
    </r>
    <r>
      <rPr>
        <sz val="10"/>
        <color rgb="FF00B050"/>
        <rFont val="Arial"/>
        <family val="2"/>
        <scheme val="minor"/>
      </rPr>
      <t>contamination</t>
    </r>
    <r>
      <rPr>
        <sz val="10"/>
        <color rgb="FF000000"/>
        <rFont val="Arial"/>
        <family val="2"/>
        <scheme val="minor"/>
      </rPr>
      <t xml:space="preserve"> by making an epidemiological link between wild or feral reservoirs and humans</t>
    </r>
  </si>
  <si>
    <t>contamination</t>
  </si>
  <si>
    <t>contamination should be annoted as a biotic term</t>
  </si>
  <si>
    <r>
      <t xml:space="preserve">Dogs could bring pathogens back home, shedding </t>
    </r>
    <r>
      <rPr>
        <sz val="10"/>
        <color rgb="FFFFC000"/>
        <rFont val="Arial"/>
        <family val="2"/>
        <scheme val="minor"/>
      </rPr>
      <t>Leptospira</t>
    </r>
    <r>
      <rPr>
        <sz val="10"/>
        <color rgb="FF000000"/>
        <rFont val="Arial"/>
        <family val="2"/>
        <scheme val="minor"/>
      </rPr>
      <t xml:space="preserve"> via their urine and in turn increasing the risk of </t>
    </r>
    <r>
      <rPr>
        <sz val="10"/>
        <color rgb="FFFF0000"/>
        <rFont val="Arial"/>
        <family val="2"/>
        <scheme val="minor"/>
      </rPr>
      <t>human</t>
    </r>
    <r>
      <rPr>
        <sz val="10"/>
        <color rgb="FF000000"/>
        <rFont val="Arial"/>
        <family val="2"/>
        <scheme val="minor"/>
      </rPr>
      <t xml:space="preserve"> </t>
    </r>
    <r>
      <rPr>
        <sz val="10"/>
        <color rgb="FF00B050"/>
        <rFont val="Arial"/>
        <family val="2"/>
        <scheme val="minor"/>
      </rPr>
      <t>contamination</t>
    </r>
    <r>
      <rPr>
        <sz val="10"/>
        <color rgb="FF000000"/>
        <rFont val="Arial"/>
        <family val="2"/>
        <scheme val="minor"/>
      </rPr>
      <t>.</t>
    </r>
  </si>
  <si>
    <t>Verifed by LK, X corrected</t>
  </si>
  <si>
    <t xml:space="preserve">PMC8797170 </t>
  </si>
  <si>
    <r>
      <t>T</t>
    </r>
    <r>
      <rPr>
        <sz val="10"/>
        <rFont val="Arial"/>
        <family val="2"/>
        <scheme val="minor"/>
      </rPr>
      <t>here was little overlap between the serovars dogs</t>
    </r>
    <r>
      <rPr>
        <sz val="10"/>
        <color rgb="FF000000"/>
        <rFont val="Arial"/>
        <family val="2"/>
        <scheme val="minor"/>
      </rPr>
      <t xml:space="preserve"> were exposed to and those </t>
    </r>
    <r>
      <rPr>
        <sz val="10"/>
        <rFont val="Arial"/>
        <family val="2"/>
        <scheme val="minor"/>
      </rPr>
      <t>infecting humans.</t>
    </r>
  </si>
  <si>
    <r>
      <t xml:space="preserve">Feral </t>
    </r>
    <r>
      <rPr>
        <sz val="10"/>
        <color rgb="FFFF0000"/>
        <rFont val="Arial"/>
        <family val="2"/>
        <scheme val="minor"/>
      </rPr>
      <t>pigs</t>
    </r>
    <r>
      <rPr>
        <sz val="10"/>
        <color rgb="FF000000"/>
        <rFont val="Arial"/>
        <family val="2"/>
        <scheme val="minor"/>
      </rPr>
      <t xml:space="preserve"> are known </t>
    </r>
    <r>
      <rPr>
        <sz val="10"/>
        <color rgb="FF00B050"/>
        <rFont val="Arial"/>
        <family val="2"/>
        <scheme val="minor"/>
      </rPr>
      <t>carriers</t>
    </r>
    <r>
      <rPr>
        <sz val="10"/>
        <color rgb="FF000000"/>
        <rFont val="Arial"/>
        <family val="2"/>
        <scheme val="minor"/>
      </rPr>
      <t xml:space="preserve"> of </t>
    </r>
    <r>
      <rPr>
        <sz val="10"/>
        <color rgb="FFFFC000"/>
        <rFont val="Arial"/>
        <family val="2"/>
        <scheme val="minor"/>
      </rPr>
      <t>Leptospira</t>
    </r>
    <r>
      <rPr>
        <sz val="10"/>
        <color rgb="FF000000"/>
        <rFont val="Arial"/>
        <family val="2"/>
        <scheme val="minor"/>
      </rPr>
      <t xml:space="preserve"> species and pig hunting using dogs is a common recreational activity in Queensland, Australia.</t>
    </r>
  </si>
  <si>
    <t>carriers of</t>
  </si>
  <si>
    <t>pig should be annoted as a species, carriers of should be annoted as a biotic term</t>
  </si>
  <si>
    <r>
      <t xml:space="preserve">With shifting climatic patterns influencing </t>
    </r>
    <r>
      <rPr>
        <sz val="10"/>
        <color rgb="FFFF0000"/>
        <rFont val="Arial"/>
      </rPr>
      <t>human</t>
    </r>
    <r>
      <rPr>
        <sz val="10"/>
        <color rgb="FF000000"/>
        <rFont val="Arial"/>
      </rPr>
      <t>-</t>
    </r>
    <r>
      <rPr>
        <sz val="10"/>
        <color rgb="FFBC8E03"/>
        <rFont val="Arial"/>
      </rPr>
      <t>animal</t>
    </r>
    <r>
      <rPr>
        <sz val="10"/>
        <color rgb="FF000000"/>
        <rFont val="Arial"/>
      </rPr>
      <t xml:space="preserve">-environment </t>
    </r>
    <r>
      <rPr>
        <sz val="10"/>
        <color rgb="FF00B050"/>
        <rFont val="Arial"/>
      </rPr>
      <t>interactions</t>
    </r>
    <r>
      <rPr>
        <sz val="10"/>
        <color rgb="FF000000"/>
        <rFont val="Arial"/>
      </rPr>
      <t>, ongoing monitoring of diseases like leptospirosis is critical to helping prevent infection of individuals and disease outbreaks.</t>
    </r>
  </si>
  <si>
    <t>interactions</t>
  </si>
  <si>
    <t>interaction should be annoted as a biotic term,  animal should be annoted as a species</t>
  </si>
  <si>
    <r>
      <t xml:space="preserve">Although harder to interpret, 8/11 (73%) vaccinated </t>
    </r>
    <r>
      <rPr>
        <sz val="10"/>
        <color rgb="FFFF0000"/>
        <rFont val="Arial"/>
        <family val="2"/>
      </rPr>
      <t>dogs</t>
    </r>
    <r>
      <rPr>
        <sz val="10"/>
        <color rgb="FF000000"/>
        <rFont val="Arial"/>
        <family val="2"/>
      </rPr>
      <t xml:space="preserve"> were </t>
    </r>
    <r>
      <rPr>
        <sz val="10"/>
        <color rgb="FF00B050"/>
        <rFont val="Arial"/>
        <family val="2"/>
      </rPr>
      <t>seropositive to</t>
    </r>
    <r>
      <rPr>
        <sz val="10"/>
        <color rgb="FF000000"/>
        <rFont val="Arial"/>
        <family val="2"/>
      </rPr>
      <t xml:space="preserve"> </t>
    </r>
    <r>
      <rPr>
        <sz val="10"/>
        <color rgb="FFFFC000"/>
        <rFont val="Arial"/>
        <family val="2"/>
      </rPr>
      <t>Leptospira</t>
    </r>
    <r>
      <rPr>
        <sz val="10"/>
        <color rgb="FF000000"/>
        <rFont val="Arial"/>
        <family val="2"/>
      </rPr>
      <t xml:space="preserve"> spp. </t>
    </r>
  </si>
  <si>
    <t xml:space="preserve">seropositive to </t>
  </si>
  <si>
    <t>seropositive to should be annoted as a biotic term, vaccinated should not be annoted</t>
  </si>
  <si>
    <t>The dominant serovar identified in unvaccinated dogs was Australis (13/23; 57%), with serovar Arborea (36/330; 10.9%) responsible for the highest number of human leptospirosis cases.</t>
  </si>
  <si>
    <r>
      <t xml:space="preserve">with a strong focus on the </t>
    </r>
    <r>
      <rPr>
        <sz val="10"/>
        <color rgb="FFFF0000"/>
        <rFont val="Arial"/>
        <family val="2"/>
        <scheme val="minor"/>
      </rPr>
      <t>shrew</t>
    </r>
    <r>
      <rPr>
        <sz val="10"/>
        <color rgb="FF000000"/>
        <rFont val="Arial"/>
        <family val="2"/>
        <scheme val="minor"/>
      </rPr>
      <t xml:space="preserve"> and its emerging role as a key</t>
    </r>
    <r>
      <rPr>
        <sz val="10"/>
        <color rgb="FF00B050"/>
        <rFont val="Arial"/>
        <family val="2"/>
        <scheme val="minor"/>
      </rPr>
      <t xml:space="preserve"> host of</t>
    </r>
    <r>
      <rPr>
        <sz val="10"/>
        <color rgb="FF000000"/>
        <rFont val="Arial"/>
        <family val="2"/>
        <scheme val="minor"/>
      </rPr>
      <t xml:space="preserve"> </t>
    </r>
    <r>
      <rPr>
        <sz val="10"/>
        <color rgb="FFFFC000"/>
        <rFont val="Arial"/>
        <family val="2"/>
        <scheme val="minor"/>
      </rPr>
      <t>henipaviruses</t>
    </r>
    <r>
      <rPr>
        <sz val="10"/>
        <color rgb="FF000000"/>
        <rFont val="Arial"/>
        <family val="2"/>
        <scheme val="minor"/>
      </rPr>
      <t>.</t>
    </r>
  </si>
  <si>
    <t>shrew</t>
  </si>
  <si>
    <t>henipaviruses</t>
  </si>
  <si>
    <t>shrew should be annoted as a species</t>
  </si>
  <si>
    <t>These blood-sucking parasites transmit dangerous human pathogens,</t>
  </si>
  <si>
    <r>
      <t xml:space="preserve">Almost 60% of alpha- and </t>
    </r>
    <r>
      <rPr>
        <sz val="10"/>
        <color rgb="FFFF0000"/>
        <rFont val="Arial"/>
        <family val="2"/>
        <scheme val="minor"/>
      </rPr>
      <t>betacoronaviruses</t>
    </r>
    <r>
      <rPr>
        <sz val="10"/>
        <color rgb="FF000000"/>
        <rFont val="Arial"/>
        <family val="2"/>
        <scheme val="minor"/>
      </rPr>
      <t xml:space="preserve"> are </t>
    </r>
    <r>
      <rPr>
        <sz val="10"/>
        <color rgb="FF00B050"/>
        <rFont val="Arial"/>
        <family val="2"/>
        <scheme val="minor"/>
      </rPr>
      <t>related to</t>
    </r>
    <r>
      <rPr>
        <sz val="10"/>
        <color rgb="FF000000"/>
        <rFont val="Arial"/>
        <family val="2"/>
        <scheme val="minor"/>
      </rPr>
      <t xml:space="preserve"> </t>
    </r>
    <r>
      <rPr>
        <sz val="10"/>
        <color rgb="FFFFC000"/>
        <rFont val="Arial"/>
        <family val="2"/>
        <scheme val="minor"/>
      </rPr>
      <t>bats</t>
    </r>
    <r>
      <rPr>
        <sz val="10"/>
        <color rgb="FF000000"/>
        <rFont val="Arial"/>
        <family val="2"/>
        <scheme val="minor"/>
      </rPr>
      <t xml:space="preserve">, which are considered natural hosts of these viral genera members. </t>
    </r>
  </si>
  <si>
    <t>betacoronaviruses</t>
  </si>
  <si>
    <t>related to</t>
  </si>
  <si>
    <t>related to should be annoted as a biotic term, betacoronaviruses should be annoted as a virus</t>
  </si>
  <si>
    <t xml:space="preserve">PMC10810618 </t>
  </si>
  <si>
    <r>
      <t xml:space="preserve">TBEV is </t>
    </r>
    <r>
      <rPr>
        <sz val="10"/>
        <color rgb="FF00B050"/>
        <rFont val="Arial"/>
        <family val="2"/>
        <scheme val="minor"/>
      </rPr>
      <t>transmitted to</t>
    </r>
    <r>
      <rPr>
        <sz val="10"/>
        <color rgb="FF000000"/>
        <rFont val="Arial"/>
        <family val="2"/>
        <scheme val="minor"/>
      </rPr>
      <t xml:space="preserve"> </t>
    </r>
    <r>
      <rPr>
        <sz val="10"/>
        <color rgb="FFFF0000"/>
        <rFont val="Arial"/>
        <family val="2"/>
        <scheme val="minor"/>
      </rPr>
      <t>humans</t>
    </r>
    <r>
      <rPr>
        <sz val="10"/>
        <color rgb="FF000000"/>
        <rFont val="Arial"/>
        <family val="2"/>
        <scheme val="minor"/>
      </rPr>
      <t xml:space="preserve"> primarily by </t>
    </r>
    <r>
      <rPr>
        <sz val="10"/>
        <color rgb="FFFFC000"/>
        <rFont val="Arial"/>
        <family val="2"/>
        <scheme val="minor"/>
      </rPr>
      <t>Ixodes ticks</t>
    </r>
    <r>
      <rPr>
        <sz val="10"/>
        <color rgb="FF000000"/>
        <rFont val="Arial"/>
        <family val="2"/>
        <scheme val="minor"/>
      </rPr>
      <t>.</t>
    </r>
  </si>
  <si>
    <t>Ixodes ticks</t>
  </si>
  <si>
    <t>transmitted to should be annoted as a biotic term</t>
  </si>
  <si>
    <r>
      <t xml:space="preserve">An epidemiological study has shown that cumulative,
 prevalence of </t>
    </r>
    <r>
      <rPr>
        <sz val="10"/>
        <color rgb="FFFF0000"/>
        <rFont val="Arial"/>
        <family val="2"/>
        <scheme val="minor"/>
      </rPr>
      <t>Leishmania</t>
    </r>
    <r>
      <rPr>
        <sz val="10"/>
        <color rgb="FF000000"/>
        <rFont val="Arial"/>
        <family val="2"/>
        <scheme val="minor"/>
      </rPr>
      <t xml:space="preserve"> (Viannia)</t>
    </r>
    <r>
      <rPr>
        <sz val="10"/>
        <color rgb="FFFF0000"/>
        <rFont val="Arial"/>
        <family val="2"/>
        <scheme val="minor"/>
      </rPr>
      <t xml:space="preserve"> </t>
    </r>
    <r>
      <rPr>
        <sz val="10"/>
        <color theme="7"/>
        <rFont val="Arial"/>
        <family val="2"/>
        <scheme val="minor"/>
      </rPr>
      <t>infection</t>
    </r>
    <r>
      <rPr>
        <sz val="10"/>
        <color rgb="FF000000"/>
        <rFont val="Arial"/>
        <family val="2"/>
        <scheme val="minor"/>
      </rPr>
      <t xml:space="preserve"> in </t>
    </r>
    <r>
      <rPr>
        <sz val="10"/>
        <color theme="6"/>
        <rFont val="Arial"/>
        <family val="2"/>
        <scheme val="minor"/>
      </rPr>
      <t>dogs</t>
    </r>
    <r>
      <rPr>
        <sz val="10"/>
        <color rgb="FF000000"/>
        <rFont val="Arial"/>
        <family val="2"/>
        <scheme val="minor"/>
      </rPr>
      <t xml:space="preserve"> 
ranges from 8% to 45% in Huánuco, Peru.</t>
    </r>
  </si>
  <si>
    <t>Leishmania</t>
  </si>
  <si>
    <r>
      <t>The results suggest that dogs play a role in the (peri)
domestic</t>
    </r>
    <r>
      <rPr>
        <sz val="10"/>
        <color rgb="FF00B050"/>
        <rFont val="Arial"/>
        <family val="2"/>
        <scheme val="minor"/>
      </rPr>
      <t xml:space="preserve"> transmission</t>
    </r>
    <r>
      <rPr>
        <sz val="10"/>
        <color rgb="FF000000"/>
        <rFont val="Arial"/>
        <family val="2"/>
        <scheme val="minor"/>
      </rPr>
      <t xml:space="preserve"> of </t>
    </r>
    <r>
      <rPr>
        <sz val="10"/>
        <color rgb="FFFF0000"/>
        <rFont val="Arial"/>
        <family val="2"/>
        <scheme val="minor"/>
      </rPr>
      <t>Le. (Viannia)</t>
    </r>
    <r>
      <rPr>
        <sz val="10"/>
        <color rgb="FF000000"/>
        <rFont val="Arial"/>
        <family val="2"/>
        <scheme val="minor"/>
      </rPr>
      <t xml:space="preserve"> to </t>
    </r>
    <r>
      <rPr>
        <sz val="10"/>
        <color rgb="FFFFC000"/>
        <rFont val="Arial"/>
        <family val="2"/>
        <scheme val="minor"/>
      </rPr>
      <t>humans</t>
    </r>
    <r>
      <rPr>
        <sz val="10"/>
        <color rgb="FF000000"/>
        <rFont val="Arial"/>
        <family val="2"/>
        <scheme val="minor"/>
      </rPr>
      <t xml:space="preserve"> in
 Huánuco and indicate that a control intervention
 targeting dogs to control human ACL is warranted.</t>
    </r>
  </si>
  <si>
    <t>Le. (Viannia)</t>
  </si>
  <si>
    <t>Pasteurella haemolytica showed a higher level of
resistance compared to Pasteurella multocida; 
porcine strains were more resistant than bovine
strains.</t>
  </si>
  <si>
    <t xml:space="preserve">resitant </t>
  </si>
  <si>
    <r>
      <rPr>
        <sz val="10"/>
        <color rgb="FFFFC000"/>
        <rFont val="Arial"/>
        <family val="2"/>
        <scheme val="minor"/>
      </rPr>
      <t>He</t>
    </r>
    <r>
      <rPr>
        <sz val="10"/>
        <color rgb="FF000000"/>
        <rFont val="Arial"/>
        <family val="2"/>
        <scheme val="minor"/>
      </rPr>
      <t xml:space="preserve"> complained of non cardiac chest pain and had
eosinophilia leading to the detection of
</t>
    </r>
    <r>
      <rPr>
        <sz val="10"/>
        <color rgb="FFFF0000"/>
        <rFont val="Arial"/>
        <family val="2"/>
        <scheme val="minor"/>
      </rPr>
      <t>Toxocara canis</t>
    </r>
    <r>
      <rPr>
        <sz val="10"/>
        <color rgb="FF000000"/>
        <rFont val="Arial"/>
        <family val="2"/>
        <scheme val="minor"/>
      </rPr>
      <t xml:space="preserve"> </t>
    </r>
    <r>
      <rPr>
        <sz val="10"/>
        <color rgb="FF00B050"/>
        <rFont val="Arial"/>
        <family val="2"/>
        <scheme val="minor"/>
      </rPr>
      <t>infection.</t>
    </r>
  </si>
  <si>
    <t xml:space="preserve">Toxocara canis </t>
  </si>
  <si>
    <t>he</t>
  </si>
  <si>
    <r>
      <rPr>
        <sz val="10"/>
        <color theme="5"/>
        <rFont val="Arial"/>
        <family val="2"/>
        <scheme val="minor"/>
      </rPr>
      <t>Plasmodium falciparum</t>
    </r>
    <r>
      <rPr>
        <sz val="10"/>
        <color rgb="FF000000"/>
        <rFont val="Arial"/>
        <family val="2"/>
        <scheme val="minor"/>
      </rPr>
      <t xml:space="preserve"> is a parasite that causes the
 deadly human disease, malaria, and exhibits a complex
 life cycle in </t>
    </r>
    <r>
      <rPr>
        <sz val="10"/>
        <color theme="6"/>
        <rFont val="Arial"/>
        <family val="2"/>
        <scheme val="minor"/>
      </rPr>
      <t>human and mosquito</t>
    </r>
    <r>
      <rPr>
        <sz val="10"/>
        <color rgb="FF00B050"/>
        <rFont val="Arial"/>
        <family val="2"/>
        <scheme val="minor"/>
      </rPr>
      <t xml:space="preserve"> hosts</t>
    </r>
  </si>
  <si>
    <t>human and mosquito</t>
  </si>
  <si>
    <r>
      <t xml:space="preserve">In the sexual stages of the parasite, </t>
    </r>
    <r>
      <rPr>
        <sz val="10"/>
        <color rgb="FFFF0000"/>
        <rFont val="Arial"/>
        <family val="2"/>
        <scheme val="minor"/>
      </rPr>
      <t>gametocytes</t>
    </r>
    <r>
      <rPr>
        <sz val="10"/>
        <color rgb="FF000000"/>
        <rFont val="Arial"/>
        <family val="2"/>
        <scheme val="minor"/>
      </rPr>
      <t xml:space="preserve">
 mature in the </t>
    </r>
    <r>
      <rPr>
        <sz val="10"/>
        <color theme="6"/>
        <rFont val="Arial"/>
        <family val="2"/>
        <scheme val="minor"/>
      </rPr>
      <t>human body</t>
    </r>
    <r>
      <rPr>
        <sz val="10"/>
        <color rgb="FF000000"/>
        <rFont val="Arial"/>
        <family val="2"/>
        <scheme val="minor"/>
      </rPr>
      <t xml:space="preserve"> and propagate malaria
 when they are picked up by mosquitoes to</t>
    </r>
    <r>
      <rPr>
        <sz val="10"/>
        <color rgb="FF00B050"/>
        <rFont val="Arial"/>
        <family val="2"/>
        <scheme val="minor"/>
      </rPr>
      <t xml:space="preserve"> infect</t>
    </r>
    <r>
      <rPr>
        <sz val="10"/>
        <color rgb="FF000000"/>
        <rFont val="Arial"/>
        <family val="2"/>
        <scheme val="minor"/>
      </rPr>
      <t xml:space="preserve">
 new hosts</t>
    </r>
  </si>
  <si>
    <t>gametocytes</t>
  </si>
  <si>
    <t>human body</t>
  </si>
  <si>
    <r>
      <t xml:space="preserve">Previous research has shown that </t>
    </r>
    <r>
      <rPr>
        <sz val="10"/>
        <color theme="5"/>
        <rFont val="Arial"/>
        <family val="2"/>
        <scheme val="minor"/>
      </rPr>
      <t>gametocytes</t>
    </r>
    <r>
      <rPr>
        <sz val="10"/>
        <color rgb="FF000000"/>
        <rFont val="Arial"/>
        <family val="2"/>
        <scheme val="minor"/>
      </rPr>
      <t xml:space="preserve">
 home to the </t>
    </r>
    <r>
      <rPr>
        <sz val="10"/>
        <color rgb="FFFFC000"/>
        <rFont val="Arial"/>
        <family val="2"/>
        <scheme val="minor"/>
      </rPr>
      <t>bone marrow</t>
    </r>
    <r>
      <rPr>
        <sz val="10"/>
        <color rgb="FF000000"/>
        <rFont val="Arial"/>
        <family val="2"/>
        <scheme val="minor"/>
      </rPr>
      <t xml:space="preserve"> of the </t>
    </r>
    <r>
      <rPr>
        <sz val="10"/>
        <color rgb="FF00B050"/>
        <rFont val="Arial"/>
        <family val="2"/>
        <scheme val="minor"/>
      </rPr>
      <t>host</t>
    </r>
    <r>
      <rPr>
        <sz val="10"/>
        <color rgb="FF000000"/>
        <rFont val="Arial"/>
        <family val="2"/>
        <scheme val="minor"/>
      </rPr>
      <t>, where they 
complete their maturation and alter the behavior of 
resident mesenchymal stem cells (MSCs)</t>
    </r>
  </si>
  <si>
    <t xml:space="preserve">host </t>
  </si>
  <si>
    <t xml:space="preserve"> bone marrow of the host</t>
  </si>
  <si>
    <r>
      <t xml:space="preserve">Together, this study reveals novel </t>
    </r>
    <r>
      <rPr>
        <sz val="10"/>
        <color rgb="FF00B050"/>
        <rFont val="Arial"/>
        <family val="2"/>
        <scheme val="minor"/>
      </rPr>
      <t>host-pathogen
 interactions</t>
    </r>
    <r>
      <rPr>
        <sz val="10"/>
        <color rgb="FF000000"/>
        <rFont val="Arial"/>
        <family val="2"/>
        <scheme val="minor"/>
      </rPr>
      <t xml:space="preserve">, where the </t>
    </r>
    <r>
      <rPr>
        <sz val="10"/>
        <color rgb="FFFFC000"/>
        <rFont val="Arial"/>
        <family val="2"/>
        <scheme val="minor"/>
      </rPr>
      <t>human</t>
    </r>
    <r>
      <rPr>
        <sz val="10"/>
        <color rgb="FF000000"/>
        <rFont val="Arial"/>
        <family val="2"/>
        <scheme val="minor"/>
      </rPr>
      <t xml:space="preserve"> MSCs are elevating 
the infectivity of malaria </t>
    </r>
    <r>
      <rPr>
        <sz val="10"/>
        <color rgb="FFFF0000"/>
        <rFont val="Arial"/>
        <family val="2"/>
        <scheme val="minor"/>
      </rPr>
      <t>gametocytes</t>
    </r>
    <r>
      <rPr>
        <sz val="10"/>
        <color rgb="FF000000"/>
        <rFont val="Arial"/>
        <family val="2"/>
        <scheme val="minor"/>
      </rPr>
      <t>.</t>
    </r>
  </si>
  <si>
    <t>host-pathogen
 interactions</t>
  </si>
  <si>
    <t>Total number of positive sentence</t>
  </si>
  <si>
    <t>PMID</t>
  </si>
  <si>
    <t xml:space="preserve">Sentence </t>
  </si>
  <si>
    <t xml:space="preserve">Answer </t>
  </si>
  <si>
    <r>
      <t>An epidemiological study has shown that cumulative, village prevalence of Leishmania (</t>
    </r>
    <r>
      <rPr>
        <sz val="10"/>
        <color rgb="FFFF0000"/>
        <rFont val="Arial"/>
        <family val="2"/>
        <scheme val="minor"/>
      </rPr>
      <t>Viannia</t>
    </r>
    <r>
      <rPr>
        <sz val="10"/>
        <color rgb="FF000000"/>
        <rFont val="Arial"/>
        <scheme val="minor"/>
      </rPr>
      <t>) infection in dogs ranges from 8% to 45% in Huánuco, Peru.</t>
    </r>
  </si>
  <si>
    <t>sugenus, species is it the same ?</t>
  </si>
  <si>
    <t>YES --&gt; Viannia is a subgenus of  species</t>
  </si>
  <si>
    <r>
      <t xml:space="preserve">Soft ticks are well-known for vectoring several disease-causing </t>
    </r>
    <r>
      <rPr>
        <sz val="10"/>
        <color rgb="FFFF0000"/>
        <rFont val="Arial"/>
        <family val="2"/>
        <scheme val="minor"/>
      </rPr>
      <t>pathogens</t>
    </r>
    <r>
      <rPr>
        <sz val="10"/>
        <color rgb="FF000000"/>
        <rFont val="Arial"/>
        <family val="2"/>
        <scheme val="minor"/>
      </rPr>
      <t xml:space="preserve"> that are distributed throughout the world.</t>
    </r>
  </si>
  <si>
    <t xml:space="preserve">in this context, is not a biotic interaction ? </t>
  </si>
  <si>
    <t>yes, sentence</t>
  </si>
  <si>
    <r>
      <t xml:space="preserve">Further studies are encouraged to screen soft ticks for </t>
    </r>
    <r>
      <rPr>
        <sz val="10"/>
        <color rgb="FFFF0000"/>
        <rFont val="Arial"/>
        <family val="2"/>
        <scheme val="minor"/>
      </rPr>
      <t>pathogens</t>
    </r>
    <r>
      <rPr>
        <sz val="10"/>
        <color rgb="FF000000"/>
        <rFont val="Arial"/>
        <family val="2"/>
        <scheme val="minor"/>
      </rPr>
      <t xml:space="preserve"> that affect public and veterinary health.</t>
    </r>
  </si>
  <si>
    <r>
      <t xml:space="preserve">Argasid ticks have the vectorial potential for transmitting disease-causing </t>
    </r>
    <r>
      <rPr>
        <sz val="10"/>
        <color rgb="FFFF0000"/>
        <rFont val="Arial"/>
        <family val="2"/>
        <scheme val="minor"/>
      </rPr>
      <t>pathogens</t>
    </r>
    <r>
      <rPr>
        <sz val="10"/>
        <color rgb="FF000000"/>
        <rFont val="Arial"/>
        <family val="2"/>
        <scheme val="minor"/>
      </rPr>
      <t xml:space="preserve"> to avian hosts,</t>
    </r>
  </si>
  <si>
    <r>
      <t xml:space="preserve">country-wide surveillance research should be encouraged to screen soft ticks infesting various birds for associated </t>
    </r>
    <r>
      <rPr>
        <sz val="10"/>
        <color rgb="FFFF0000"/>
        <rFont val="Arial"/>
        <family val="2"/>
        <scheme val="minor"/>
      </rPr>
      <t>pathogens</t>
    </r>
    <r>
      <rPr>
        <sz val="10"/>
        <color rgb="FF000000"/>
        <rFont val="Arial"/>
        <family val="2"/>
        <scheme val="minor"/>
      </rPr>
      <t>.</t>
    </r>
  </si>
  <si>
    <r>
      <t xml:space="preserve">Tick infestation in shelters (1081; 77%) was higher than on </t>
    </r>
    <r>
      <rPr>
        <sz val="10"/>
        <color rgb="FFFF0000"/>
        <rFont val="Arial"/>
        <family val="2"/>
        <scheme val="minor"/>
      </rPr>
      <t>hosts</t>
    </r>
    <r>
      <rPr>
        <sz val="10"/>
        <color rgb="FF000000"/>
        <rFont val="Arial"/>
        <family val="2"/>
        <scheme val="minor"/>
      </rPr>
      <t xml:space="preserve"> (323; 23%).</t>
    </r>
  </si>
  <si>
    <t>infestation should be added in bitoic, host yes but sentence no</t>
  </si>
  <si>
    <r>
      <t xml:space="preserve">Argasid ticks have the vectorial potential for transmitting disease-causing pathogens to avian </t>
    </r>
    <r>
      <rPr>
        <sz val="10"/>
        <color rgb="FFFF0000"/>
        <rFont val="Arial"/>
        <family val="2"/>
        <scheme val="minor"/>
      </rPr>
      <t>hosts</t>
    </r>
    <r>
      <rPr>
        <sz val="10"/>
        <color rgb="FF000000"/>
        <rFont val="Arial"/>
        <family val="2"/>
        <scheme val="minor"/>
      </rPr>
      <t>,</t>
    </r>
  </si>
  <si>
    <r>
      <rPr>
        <sz val="10"/>
        <color rgb="FFFF0000"/>
        <rFont val="Arial"/>
        <family val="2"/>
        <scheme val="minor"/>
      </rPr>
      <t>Borrelia</t>
    </r>
    <r>
      <rPr>
        <sz val="10"/>
        <color rgb="FF000000"/>
        <rFont val="Arial"/>
        <family val="2"/>
        <scheme val="minor"/>
      </rPr>
      <t xml:space="preserve"> species are the responsible agents of borreliosis in poultry, animals and humans.</t>
    </r>
  </si>
  <si>
    <t>genus, species is it the same ?</t>
  </si>
  <si>
    <t>YES --&gt; Borrelia is a genus of species / sentence yes</t>
  </si>
  <si>
    <r>
      <t xml:space="preserve">Human can become an intermediate </t>
    </r>
    <r>
      <rPr>
        <sz val="10"/>
        <color rgb="FFFF0000"/>
        <rFont val="Arial"/>
        <family val="2"/>
        <scheme val="minor"/>
      </rPr>
      <t>host</t>
    </r>
    <r>
      <rPr>
        <sz val="10"/>
        <color rgb="FF000000"/>
        <rFont val="Arial"/>
        <family val="2"/>
        <scheme val="minor"/>
      </rPr>
      <t xml:space="preserve"> through accidental ingestion of E. multilocularis eggs.</t>
    </r>
  </si>
  <si>
    <t>sentence, yes, ingestion should be added</t>
  </si>
  <si>
    <r>
      <t xml:space="preserve">Culicoides spp. play an important role in the transmission of several vector-borne </t>
    </r>
    <r>
      <rPr>
        <sz val="10"/>
        <color rgb="FFFF0000"/>
        <rFont val="Arial"/>
        <family val="2"/>
        <scheme val="minor"/>
      </rPr>
      <t>pathogens</t>
    </r>
    <r>
      <rPr>
        <sz val="10"/>
        <color rgb="FF000000"/>
        <rFont val="Arial"/>
        <family val="2"/>
        <scheme val="minor"/>
      </rPr>
      <t xml:space="preserve"> such as Bluetongue and Schmallenberg virus in Europe.</t>
    </r>
  </si>
  <si>
    <t>sentence yes</t>
  </si>
  <si>
    <r>
      <t xml:space="preserve">These blood-sucking parasites transmit dangerous human </t>
    </r>
    <r>
      <rPr>
        <sz val="10"/>
        <color rgb="FFFF0000"/>
        <rFont val="Arial"/>
        <family val="2"/>
        <scheme val="minor"/>
      </rPr>
      <t>pathogens</t>
    </r>
    <r>
      <rPr>
        <sz val="10"/>
        <color rgb="FF000000"/>
        <rFont val="Arial"/>
        <family val="2"/>
        <scheme val="minor"/>
      </rPr>
      <t>,</t>
    </r>
  </si>
  <si>
    <t>sentence, no</t>
  </si>
  <si>
    <r>
      <t xml:space="preserve">In order to take preventive measures against any vector-borne disease, it is important to gather information on both the </t>
    </r>
    <r>
      <rPr>
        <sz val="10"/>
        <color rgb="FFFF0000"/>
        <rFont val="Arial"/>
        <family val="2"/>
        <scheme val="minor"/>
      </rPr>
      <t>host</t>
    </r>
    <r>
      <rPr>
        <sz val="10"/>
        <color rgb="FF000000"/>
        <rFont val="Arial"/>
        <family val="2"/>
        <scheme val="minor"/>
      </rPr>
      <t xml:space="preserve"> and vector species. </t>
    </r>
  </si>
  <si>
    <r>
      <t xml:space="preserve">The paper discusses the relevance of data in the literature when investigating </t>
    </r>
    <r>
      <rPr>
        <sz val="10"/>
        <color rgb="FFFF0000"/>
        <rFont val="Arial"/>
        <family val="2"/>
        <scheme val="minor"/>
      </rPr>
      <t>hosts of</t>
    </r>
    <r>
      <rPr>
        <sz val="10"/>
        <color rgb="FF000000"/>
        <rFont val="Arial"/>
        <family val="2"/>
        <scheme val="minor"/>
      </rPr>
      <t xml:space="preserve"> Culicoides species.</t>
    </r>
  </si>
  <si>
    <t>YES--&gt; because host of the species virus, no sentence</t>
  </si>
  <si>
    <r>
      <t xml:space="preserve">So, a second objective is to re-evaluate the </t>
    </r>
    <r>
      <rPr>
        <sz val="10"/>
        <color rgb="FFFF0000"/>
        <rFont val="Arial"/>
        <family val="2"/>
        <scheme val="minor"/>
      </rPr>
      <t>presence of</t>
    </r>
    <r>
      <rPr>
        <sz val="10"/>
        <color rgb="FF000000"/>
        <rFont val="Arial"/>
        <family val="2"/>
        <scheme val="minor"/>
      </rPr>
      <t xml:space="preserve"> Culicoides spp. in cattle in France.</t>
    </r>
  </si>
  <si>
    <t>yes sentence</t>
  </si>
  <si>
    <t xml:space="preserve">feeding on </t>
  </si>
  <si>
    <r>
      <t>The light trap is not suited for midges</t>
    </r>
    <r>
      <rPr>
        <sz val="10"/>
        <color rgb="FFFF0000"/>
        <rFont val="Arial"/>
        <family val="2"/>
        <scheme val="minor"/>
      </rPr>
      <t xml:space="preserve"> feeding on</t>
    </r>
    <r>
      <rPr>
        <sz val="10"/>
        <color rgb="FF000000"/>
        <rFont val="Arial"/>
        <family val="2"/>
        <scheme val="minor"/>
      </rPr>
      <t xml:space="preserve"> an animal (42).</t>
    </r>
  </si>
  <si>
    <r>
      <t xml:space="preserve">Almost 60% of alpha- and betacoronaviruses are related to bats, which are considered natural </t>
    </r>
    <r>
      <rPr>
        <sz val="10"/>
        <color rgb="FFFF0000"/>
        <rFont val="Arial"/>
        <family val="2"/>
        <scheme val="minor"/>
      </rPr>
      <t>hosts of</t>
    </r>
    <r>
      <rPr>
        <sz val="10"/>
        <color rgb="FF000000"/>
        <rFont val="Arial"/>
        <family val="2"/>
        <scheme val="minor"/>
      </rPr>
      <t xml:space="preserve"> these viral genera members. </t>
    </r>
  </si>
  <si>
    <r>
      <t xml:space="preserve">Despite the long, </t>
    </r>
    <r>
      <rPr>
        <sz val="10"/>
        <color rgb="FFFF0000"/>
        <rFont val="Arial"/>
        <family val="2"/>
        <scheme val="minor"/>
      </rPr>
      <t>shared</t>
    </r>
    <r>
      <rPr>
        <sz val="10"/>
        <color rgb="FF000000"/>
        <rFont val="Arial"/>
        <family val="2"/>
        <scheme val="minor"/>
      </rPr>
      <t xml:space="preserve"> history of cattle and humans, little is known about how trade in cattle has spread this pathogen throughout the world</t>
    </r>
  </si>
  <si>
    <r>
      <t xml:space="preserve">Brucella abortus is a globally important zoonotic </t>
    </r>
    <r>
      <rPr>
        <sz val="10"/>
        <color rgb="FFFF0000"/>
        <rFont val="Arial"/>
        <family val="2"/>
        <scheme val="minor"/>
      </rPr>
      <t>pathogen</t>
    </r>
    <r>
      <rPr>
        <sz val="10"/>
        <color rgb="FF000000"/>
        <rFont val="Arial"/>
        <family val="2"/>
        <scheme val="minor"/>
      </rPr>
      <t xml:space="preserve"> largely found in cattle hosts and is typically transmitted to humans through contaminated dairy products or contact with diseased animals</t>
    </r>
  </si>
  <si>
    <t>yes</t>
  </si>
  <si>
    <t>relative to should be not annoted, no sentence</t>
  </si>
  <si>
    <r>
      <t xml:space="preserve">Both cowpox and monkeypox, which was recently transmitted to the United States by transport of animals indigenous to Africa (9), are actually orthopoxviruses of their reservoir rodents and are not well </t>
    </r>
    <r>
      <rPr>
        <sz val="10"/>
        <color rgb="FFFF0000"/>
        <rFont val="Arial"/>
        <scheme val="minor"/>
      </rPr>
      <t>adapted</t>
    </r>
    <r>
      <rPr>
        <sz val="10"/>
        <color rgb="FF000000"/>
        <rFont val="Arial"/>
        <scheme val="minor"/>
      </rPr>
      <t xml:space="preserve"> </t>
    </r>
    <r>
      <rPr>
        <sz val="10"/>
        <color rgb="FFFF0000"/>
        <rFont val="Arial"/>
        <scheme val="minor"/>
      </rPr>
      <t>to</t>
    </r>
    <r>
      <rPr>
        <sz val="10"/>
        <color rgb="FF000000"/>
        <rFont val="Arial"/>
        <scheme val="minor"/>
      </rPr>
      <t xml:space="preserve"> interhuman spread (1)</t>
    </r>
  </si>
  <si>
    <t>yes sentence, adapted to no</t>
  </si>
  <si>
    <r>
      <t xml:space="preserve">Dogs could bring </t>
    </r>
    <r>
      <rPr>
        <sz val="10"/>
        <color rgb="FFFF0000"/>
        <rFont val="Arial"/>
        <family val="2"/>
        <scheme val="minor"/>
      </rPr>
      <t>pathogens</t>
    </r>
    <r>
      <rPr>
        <sz val="10"/>
        <color rgb="FF000000"/>
        <rFont val="Arial"/>
        <family val="2"/>
        <scheme val="minor"/>
      </rPr>
      <t xml:space="preserve"> back home, shedding Leptospira via their urine and in turn increasing the risk of human contamination</t>
    </r>
  </si>
  <si>
    <t>yes sentence, contaminations</t>
  </si>
  <si>
    <r>
      <t xml:space="preserve">The dominant serovar identified in unvaccinated dogs was Australis (13/23; 57%), with serovar </t>
    </r>
    <r>
      <rPr>
        <sz val="10"/>
        <color rgb="FFFF0000"/>
        <rFont val="Arial"/>
        <family val="2"/>
        <scheme val="minor"/>
      </rPr>
      <t>Arborea</t>
    </r>
    <r>
      <rPr>
        <sz val="10"/>
        <color rgb="FF000000"/>
        <rFont val="Arial"/>
        <family val="2"/>
        <scheme val="minor"/>
      </rPr>
      <t xml:space="preserve"> (36/330; 10.9%) responsible for the highest number of human leptospirosis cases.</t>
    </r>
  </si>
  <si>
    <t xml:space="preserve">not a species, extinct ? </t>
  </si>
  <si>
    <t xml:space="preserve">sentence no </t>
  </si>
  <si>
    <r>
      <t xml:space="preserve">Although harder to interpret, 8/11 (73%) </t>
    </r>
    <r>
      <rPr>
        <sz val="10"/>
        <color rgb="FFFF0000"/>
        <rFont val="Arial"/>
        <family val="2"/>
        <scheme val="minor"/>
      </rPr>
      <t>vaccinated</t>
    </r>
    <r>
      <rPr>
        <sz val="10"/>
        <color rgb="FF000000"/>
        <rFont val="Arial"/>
        <family val="2"/>
        <scheme val="minor"/>
      </rPr>
      <t xml:space="preserve"> dogs were seropositive to Leptospira spp. </t>
    </r>
  </si>
  <si>
    <t>sentence yes, term no, seropostive to should be added</t>
  </si>
  <si>
    <r>
      <t xml:space="preserve">There was little overlap between the serovars dogs were </t>
    </r>
    <r>
      <rPr>
        <sz val="10"/>
        <color rgb="FFFF0000"/>
        <rFont val="Arial"/>
        <family val="2"/>
        <scheme val="minor"/>
      </rPr>
      <t>exposed to</t>
    </r>
    <r>
      <rPr>
        <sz val="10"/>
        <color rgb="FF000000"/>
        <rFont val="Arial"/>
        <family val="2"/>
        <scheme val="minor"/>
      </rPr>
      <t xml:space="preserve"> and those infecting humans</t>
    </r>
  </si>
  <si>
    <t>Biotic interaction</t>
  </si>
  <si>
    <t>remarks</t>
  </si>
  <si>
    <t>Concept</t>
  </si>
  <si>
    <t>Terminology</t>
  </si>
  <si>
    <t>Code in Terminology</t>
  </si>
  <si>
    <t>ncbitaxon_full</t>
  </si>
  <si>
    <t>Ncbitaxton /full --&gt; must only contain virus</t>
  </si>
  <si>
    <t>Leishmania braziliensis</t>
  </si>
  <si>
    <t>robi</t>
  </si>
  <si>
    <t>Ott -- &gt; must not contain virus</t>
  </si>
  <si>
    <t>Ictv</t>
  </si>
  <si>
    <t>Concept = concept_form </t>
  </si>
  <si>
    <t>Terminology = concept_source </t>
  </si>
  <si>
    <t>Code in terminology = concept_id </t>
  </si>
  <si>
    <t>Controler les terminologies: </t>
  </si>
  <si>
    <t>ictv </t>
  </si>
  <si>
    <t>robi </t>
  </si>
  <si>
    <t>ott </t>
  </si>
  <si>
    <t>Verification LK</t>
  </si>
  <si>
    <t>Genus or species is it the same ?</t>
  </si>
  <si>
    <t>Cauca (genus in Opisthokonta)</t>
  </si>
  <si>
    <t>Nothing</t>
  </si>
  <si>
    <t>Is not PMC (medline)</t>
  </si>
  <si>
    <t xml:space="preserve">robiext </t>
  </si>
  <si>
    <t>pathogen ?</t>
  </si>
  <si>
    <t>is it a biotic interaction in this case?</t>
  </si>
  <si>
    <t>bovine spongiform encephalopathy (d)</t>
  </si>
  <si>
    <t>PMC10571923</t>
  </si>
  <si>
    <t>domestic cat</t>
  </si>
  <si>
    <t>Salmonella Chickens transmission r</t>
  </si>
  <si>
    <t>Salmonella Chickens transmission d3</t>
  </si>
  <si>
    <t>Q Fever goats R3</t>
  </si>
  <si>
    <t>Q Fever goats D3</t>
  </si>
  <si>
    <t>not biotic interaction ?</t>
  </si>
  <si>
    <t>Francisella tularensis hares tick r 1</t>
  </si>
  <si>
    <t>Francisella tularensis hares tick d 2</t>
  </si>
  <si>
    <t xml:space="preserve">correction </t>
  </si>
  <si>
    <t>biotic interaction ? 1 is "hosts of"</t>
  </si>
  <si>
    <t>?</t>
  </si>
  <si>
    <t>corrections</t>
  </si>
  <si>
    <t>not a biotic interaction ?</t>
  </si>
  <si>
    <t>???</t>
  </si>
  <si>
    <t>he = 61-year-old-man</t>
  </si>
  <si>
    <r>
      <rPr>
        <sz val="10"/>
        <color rgb="FF00B050"/>
        <rFont val="Arial"/>
        <family val="2"/>
        <scheme val="minor"/>
      </rPr>
      <t>Contaminated</t>
    </r>
    <r>
      <rPr>
        <sz val="10"/>
        <color rgb="FF000000"/>
        <rFont val="Arial"/>
        <family val="2"/>
        <scheme val="minor"/>
      </rPr>
      <t xml:space="preserve"> </t>
    </r>
    <r>
      <rPr>
        <sz val="10"/>
        <color rgb="FFFFC000"/>
        <rFont val="Arial"/>
        <family val="2"/>
        <scheme val="minor"/>
      </rPr>
      <t>poultry eggs</t>
    </r>
    <r>
      <rPr>
        <sz val="10"/>
        <color rgb="FF000000"/>
        <rFont val="Arial"/>
        <family val="2"/>
        <scheme val="minor"/>
      </rPr>
      <t xml:space="preserve"> and meat products are
the major sources of human </t>
    </r>
    <r>
      <rPr>
        <sz val="10"/>
        <color rgb="FFFF0000"/>
        <rFont val="Arial"/>
        <family val="2"/>
        <scheme val="minor"/>
      </rPr>
      <t>Salmonella</t>
    </r>
    <r>
      <rPr>
        <sz val="10"/>
        <color rgb="FF000000"/>
        <rFont val="Arial"/>
        <family val="2"/>
        <scheme val="minor"/>
      </rPr>
      <t xml:space="preserve"> infection</t>
    </r>
  </si>
  <si>
    <r>
      <rPr>
        <sz val="10"/>
        <color rgb="FF00B050"/>
        <rFont val="Arial"/>
        <family val="2"/>
        <scheme val="minor"/>
      </rPr>
      <t>Vaccination</t>
    </r>
    <r>
      <rPr>
        <sz val="10"/>
        <color rgb="FF000000"/>
        <rFont val="Arial"/>
        <family val="2"/>
        <scheme val="minor"/>
      </rPr>
      <t xml:space="preserve"> of </t>
    </r>
    <r>
      <rPr>
        <sz val="10"/>
        <color rgb="FFFFC000"/>
        <rFont val="Arial"/>
        <family val="2"/>
        <scheme val="minor"/>
      </rPr>
      <t>chickens</t>
    </r>
    <r>
      <rPr>
        <sz val="10"/>
        <color rgb="FF000000"/>
        <rFont val="Arial"/>
        <family val="2"/>
        <scheme val="minor"/>
      </rPr>
      <t xml:space="preserve"> and supplementation of feed 
additives like prebiotics, probiotics, postbiotics,
synbiotics, and bacteriophages are currently being
used to mitigate the </t>
    </r>
    <r>
      <rPr>
        <sz val="10"/>
        <color rgb="FFFF0000"/>
        <rFont val="Arial"/>
        <family val="2"/>
        <scheme val="minor"/>
      </rPr>
      <t>Salmonella</t>
    </r>
    <r>
      <rPr>
        <sz val="10"/>
        <color rgb="FF000000"/>
        <rFont val="Arial"/>
        <family val="2"/>
        <scheme val="minor"/>
      </rPr>
      <t xml:space="preserve"> load in </t>
    </r>
    <r>
      <rPr>
        <sz val="10"/>
        <color rgb="FFFFC000"/>
        <rFont val="Arial"/>
        <family val="2"/>
        <scheme val="minor"/>
      </rPr>
      <t>poultry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</si>
</sst>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9">
    <font>
      <sz val="10"/>
      <color rgb="FF000000"/>
      <name val="Arial"/>
      <scheme val="minor"/>
    </font>
    <font>
      <i/>
      <sz val="10"/>
      <color rgb="FF0000FF"/>
      <name val="Arial"/>
      <family val="2"/>
      <scheme val="minor"/>
    </font>
    <font>
      <b/>
      <sz val="10"/>
      <color theme="1"/>
      <name val="Arial"/>
      <family val="2"/>
      <scheme val="minor"/>
    </font>
    <font>
      <b/>
      <sz val="10"/>
      <color theme="7"/>
      <name val="Arial"/>
      <family val="2"/>
      <scheme val="minor"/>
    </font>
    <font>
      <b/>
      <sz val="10"/>
      <color rgb="FFFF0000"/>
      <name val="Arial"/>
      <family val="2"/>
      <scheme val="minor"/>
    </font>
    <font>
      <b/>
      <sz val="10"/>
      <color rgb="FF000000"/>
      <name val="Arial"/>
      <family val="2"/>
      <scheme val="minor"/>
    </font>
    <font>
      <sz val="10"/>
      <color theme="1"/>
      <name val="Arial"/>
      <family val="2"/>
      <scheme val="minor"/>
    </font>
    <font>
      <sz val="10"/>
      <color theme="7"/>
      <name val="Arial"/>
      <family val="2"/>
      <scheme val="minor"/>
    </font>
    <font>
      <sz val="10"/>
      <color rgb="FFFF0000"/>
      <name val="Arial"/>
      <family val="2"/>
      <scheme val="minor"/>
    </font>
    <font>
      <sz val="10"/>
      <color rgb="FF000000"/>
      <name val="Arial"/>
      <family val="2"/>
      <scheme val="minor"/>
    </font>
    <font>
      <sz val="10"/>
      <color theme="1"/>
      <name val="Arial"/>
      <family val="2"/>
    </font>
    <font>
      <sz val="10"/>
      <color rgb="FF00B050"/>
      <name val="Arial"/>
      <family val="2"/>
      <scheme val="minor"/>
    </font>
    <font>
      <u/>
      <sz val="10"/>
      <color theme="10"/>
      <name val="Arial"/>
      <family val="2"/>
      <scheme val="minor"/>
    </font>
    <font>
      <sz val="10"/>
      <name val="Arial"/>
      <family val="2"/>
      <scheme val="minor"/>
    </font>
    <font>
      <sz val="10"/>
      <color rgb="FF000000"/>
      <name val="Arial Unicode MS"/>
      <family val="2"/>
    </font>
    <font>
      <sz val="10"/>
      <color rgb="FF000000"/>
      <name val="Aptos"/>
      <family val="2"/>
    </font>
    <font>
      <b/>
      <sz val="10"/>
      <color rgb="FF00B050"/>
      <name val="Arial"/>
      <family val="2"/>
      <scheme val="minor"/>
    </font>
    <font>
      <sz val="10"/>
      <color rgb="FF9900FF"/>
      <name val="Arial"/>
      <family val="2"/>
    </font>
    <font>
      <sz val="11"/>
      <color rgb="FF000000"/>
      <name val="Calibri"/>
      <family val="2"/>
    </font>
    <font>
      <sz val="10"/>
      <color theme="6"/>
      <name val="Arial"/>
      <family val="2"/>
      <scheme val="minor"/>
    </font>
    <font>
      <sz val="10"/>
      <color rgb="FFFFC000"/>
      <name val="Arial"/>
      <family val="2"/>
      <scheme val="minor"/>
    </font>
    <font>
      <sz val="12"/>
      <color rgb="FF000000"/>
      <name val="Aptos Narrow"/>
      <family val="2"/>
    </font>
    <font>
      <sz val="10"/>
      <color rgb="FFC00000"/>
      <name val="Arial"/>
      <family val="2"/>
      <scheme val="minor"/>
    </font>
    <font>
      <sz val="12"/>
      <color rgb="FF00B050"/>
      <name val="Aptos Narrow"/>
      <family val="2"/>
    </font>
    <font>
      <sz val="12"/>
      <color rgb="FFFF0000"/>
      <name val="Aptos Narrow"/>
      <family val="2"/>
    </font>
    <font>
      <sz val="10"/>
      <color theme="1"/>
      <name val="Arial Unicode MS"/>
      <family val="2"/>
    </font>
    <font>
      <sz val="7"/>
      <color rgb="FF9900FF"/>
      <name val="Arial"/>
      <family val="2"/>
      <scheme val="minor"/>
    </font>
    <font>
      <sz val="10"/>
      <name val="Arial"/>
      <family val="2"/>
    </font>
    <font>
      <b/>
      <u/>
      <sz val="10"/>
      <color theme="2"/>
      <name val="Arial"/>
      <family val="2"/>
      <scheme val="minor"/>
    </font>
    <font>
      <b/>
      <sz val="10"/>
      <color theme="2"/>
      <name val="Arial"/>
      <family val="2"/>
      <scheme val="minor"/>
    </font>
    <font>
      <b/>
      <sz val="12"/>
      <color rgb="FF000000"/>
      <name val="Arial"/>
      <family val="2"/>
      <scheme val="minor"/>
    </font>
    <font>
      <b/>
      <sz val="11"/>
      <color rgb="FF000000"/>
      <name val="Arial"/>
      <family val="2"/>
      <scheme val="minor"/>
    </font>
    <font>
      <b/>
      <i/>
      <sz val="10"/>
      <color rgb="FF000000"/>
      <name val="Arial"/>
      <family val="2"/>
      <scheme val="minor"/>
    </font>
    <font>
      <b/>
      <u/>
      <sz val="14"/>
      <color rgb="FF000000"/>
      <name val="Arial"/>
      <family val="2"/>
      <scheme val="minor"/>
    </font>
    <font>
      <b/>
      <u/>
      <sz val="16"/>
      <color theme="2"/>
      <name val="Arial"/>
      <family val="2"/>
      <scheme val="minor"/>
    </font>
    <font>
      <b/>
      <i/>
      <sz val="11"/>
      <color rgb="FF000000"/>
      <name val="Arial"/>
      <family val="2"/>
      <scheme val="minor"/>
    </font>
    <font>
      <i/>
      <sz val="10"/>
      <color rgb="FF000000"/>
      <name val="Arial"/>
      <family val="2"/>
      <scheme val="minor"/>
    </font>
    <font>
      <b/>
      <i/>
      <sz val="10"/>
      <color rgb="FFFF0000"/>
      <name val="Arial"/>
      <family val="2"/>
      <scheme val="minor"/>
    </font>
    <font>
      <i/>
      <sz val="10"/>
      <color rgb="FFFF0000"/>
      <name val="Arial"/>
      <family val="2"/>
      <scheme val="minor"/>
    </font>
    <font>
      <b/>
      <i/>
      <sz val="10"/>
      <name val="Arial"/>
      <family val="2"/>
      <scheme val="minor"/>
    </font>
    <font>
      <i/>
      <sz val="10"/>
      <name val="Arial"/>
      <family val="2"/>
      <scheme val="minor"/>
    </font>
    <font>
      <sz val="10"/>
      <color theme="5"/>
      <name val="Arial"/>
      <family val="2"/>
      <scheme val="minor"/>
    </font>
    <font>
      <u/>
      <sz val="10"/>
      <color theme="10"/>
      <name val="Arial"/>
      <family val="2"/>
      <scheme val="minor"/>
    </font>
    <font>
      <sz val="10"/>
      <color rgb="FF00B050"/>
      <name val="Arial"/>
      <family val="2"/>
      <scheme val="minor"/>
    </font>
    <font>
      <sz val="10"/>
      <color rgb="FFFF0000"/>
      <name val="Arial"/>
      <family val="2"/>
      <scheme val="minor"/>
    </font>
    <font>
      <sz val="10"/>
      <color rgb="FFFF0000"/>
      <name val="Arial (Corps)"/>
    </font>
    <font>
      <sz val="10"/>
      <color theme="6" tint="-0.249977111117893"/>
      <name val="Arial (Corps)"/>
    </font>
    <font>
      <sz val="10"/>
      <color rgb="FF00B050"/>
      <name val="Arial (Corps)"/>
    </font>
    <font>
      <b/>
      <sz val="10"/>
      <name val="Arial"/>
      <family val="2"/>
      <scheme val="minor"/>
    </font>
    <font>
      <sz val="10"/>
      <color rgb="FFFF0000"/>
      <name val="Arial Unicode MS"/>
      <family val="2"/>
    </font>
    <font>
      <sz val="10"/>
      <color rgb="FF00B050"/>
      <name val="Arial Unicode MS"/>
      <family val="2"/>
    </font>
    <font>
      <sz val="10"/>
      <color rgb="FFFFC000"/>
      <name val="Arial Unicode MS"/>
      <family val="2"/>
    </font>
    <font>
      <sz val="10"/>
      <color rgb="FFC00000"/>
      <name val="Arial Unicode MS"/>
      <family val="2"/>
    </font>
    <font>
      <sz val="10"/>
      <color rgb="FF000000"/>
      <name val="Arial Unicode MS"/>
    </font>
    <font>
      <sz val="10"/>
      <name val="Arial Unicode MS"/>
      <family val="2"/>
    </font>
    <font>
      <sz val="10"/>
      <color rgb="FF00B050"/>
      <name val="Arial"/>
    </font>
    <font>
      <sz val="10"/>
      <color rgb="FF000000"/>
      <name val="Arial"/>
      <family val="2"/>
    </font>
    <font>
      <sz val="10"/>
      <color rgb="FFFF0000"/>
      <name val="Arial"/>
    </font>
    <font>
      <sz val="10"/>
      <color rgb="FFBC8E03"/>
      <name val="Arial"/>
    </font>
    <font>
      <sz val="10"/>
      <color rgb="FF000000"/>
      <name val="Arial"/>
    </font>
    <font>
      <sz val="10"/>
      <name val="Arial"/>
      <scheme val="minor"/>
    </font>
    <font>
      <sz val="10"/>
      <name val="Arial (Corps)"/>
    </font>
    <font>
      <sz val="10"/>
      <color rgb="FFFF0000"/>
      <name val="Arial"/>
      <scheme val="minor"/>
    </font>
    <font>
      <sz val="10"/>
      <color rgb="FFFF0000"/>
      <name val="Arial"/>
      <family val="2"/>
    </font>
    <font>
      <sz val="10"/>
      <color rgb="FF00B050"/>
      <name val="Arial"/>
      <family val="2"/>
    </font>
    <font>
      <sz val="10"/>
      <color rgb="FFFFC000"/>
      <name val="Arial"/>
      <family val="2"/>
    </font>
    <font>
      <sz val="10"/>
      <color rgb="FF00B050"/>
      <name val="Arial"/>
      <scheme val="minor"/>
    </font>
    <font>
      <b/>
      <sz val="10"/>
      <color rgb="FF00B050"/>
      <name val="Arial"/>
      <scheme val="minor"/>
    </font>
    <font>
      <i/>
      <sz val="10"/>
      <color rgb="FF00B050"/>
      <name val="Arial"/>
      <family val="2"/>
      <scheme val="minor"/>
    </font>
  </fonts>
  <fills count="16">
    <fill>
      <patternFill patternType="none"/>
    </fill>
    <fill>
      <patternFill patternType="gray125"/>
    </fill>
    <fill>
      <patternFill patternType="solid">
        <fgColor theme="6" tint="0.59999389629810485"/>
        <bgColor indexed="64"/>
      </patternFill>
    </fill>
    <fill>
      <patternFill patternType="solid">
        <fgColor rgb="FFFFFF00"/>
        <bgColor indexed="64"/>
      </patternFill>
    </fill>
    <fill>
      <patternFill patternType="solid">
        <fgColor rgb="FFFF99FF"/>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rgb="FF002060"/>
        <bgColor indexed="64"/>
      </patternFill>
    </fill>
    <fill>
      <patternFill patternType="solid">
        <fgColor theme="4"/>
        <bgColor indexed="64"/>
      </patternFill>
    </fill>
    <fill>
      <patternFill patternType="solid">
        <fgColor rgb="FF92D050"/>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CCCCCC"/>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2" fillId="0" borderId="0" applyNumberFormat="0" applyFill="0" applyBorder="0" applyAlignment="0" applyProtection="0"/>
  </cellStyleXfs>
  <cellXfs count="203">
    <xf numFmtId="0" fontId="0" fillId="0" borderId="0" xfId="0"/>
    <xf numFmtId="0" fontId="32" fillId="0" borderId="0" xfId="0" applyFont="1" applyAlignment="1">
      <alignment horizontal="center" vertical="center"/>
    </xf>
    <xf numFmtId="0" fontId="32" fillId="0" borderId="0" xfId="0" applyFont="1" applyAlignment="1">
      <alignment horizontal="center"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1" xfId="0" applyFont="1" applyBorder="1"/>
    <xf numFmtId="0" fontId="2" fillId="0" borderId="1" xfId="0" applyFont="1" applyBorder="1"/>
    <xf numFmtId="0" fontId="0" fillId="0" borderId="0" xfId="0" applyAlignment="1">
      <alignment horizontal="left"/>
    </xf>
    <xf numFmtId="0" fontId="8" fillId="0" borderId="0" xfId="0" applyFont="1"/>
    <xf numFmtId="0" fontId="9" fillId="0" borderId="0" xfId="0" applyFont="1"/>
    <xf numFmtId="0" fontId="7" fillId="0" borderId="0" xfId="0" applyFont="1"/>
    <xf numFmtId="0" fontId="11" fillId="0" borderId="0" xfId="0" applyFont="1"/>
    <xf numFmtId="0" fontId="13" fillId="0" borderId="0" xfId="0" applyFont="1"/>
    <xf numFmtId="0" fontId="14" fillId="0" borderId="0" xfId="0" applyFont="1"/>
    <xf numFmtId="0" fontId="5" fillId="0" borderId="0" xfId="0" applyFont="1"/>
    <xf numFmtId="0" fontId="15" fillId="0" borderId="0" xfId="0" applyFont="1"/>
    <xf numFmtId="0" fontId="0" fillId="0" borderId="2" xfId="0" applyBorder="1"/>
    <xf numFmtId="0" fontId="9" fillId="0" borderId="0" xfId="0" applyFont="1" applyAlignment="1">
      <alignment horizontal="left"/>
    </xf>
    <xf numFmtId="0" fontId="16" fillId="0" borderId="0" xfId="0" applyFont="1"/>
    <xf numFmtId="0" fontId="16" fillId="0" borderId="1" xfId="0" applyFont="1" applyBorder="1"/>
    <xf numFmtId="0" fontId="4" fillId="0" borderId="1" xfId="0" applyFont="1" applyBorder="1"/>
    <xf numFmtId="0" fontId="17" fillId="0" borderId="4" xfId="0" applyFont="1" applyBorder="1" applyAlignment="1">
      <alignment readingOrder="1"/>
    </xf>
    <xf numFmtId="0" fontId="17" fillId="0" borderId="0" xfId="0" applyFont="1" applyAlignment="1">
      <alignment readingOrder="1"/>
    </xf>
    <xf numFmtId="0" fontId="0" fillId="4" borderId="0" xfId="0" applyFill="1"/>
    <xf numFmtId="0" fontId="0" fillId="5" borderId="0" xfId="0" applyFill="1"/>
    <xf numFmtId="0" fontId="0" fillId="0" borderId="0" xfId="0" applyAlignment="1">
      <alignment wrapText="1"/>
    </xf>
    <xf numFmtId="0" fontId="9" fillId="0" borderId="0" xfId="0" applyFont="1" applyAlignment="1">
      <alignment wrapText="1"/>
    </xf>
    <xf numFmtId="0" fontId="5" fillId="0" borderId="5" xfId="0" applyFont="1" applyBorder="1"/>
    <xf numFmtId="0" fontId="5" fillId="0" borderId="5" xfId="0" applyFont="1" applyBorder="1" applyAlignment="1">
      <alignment wrapText="1"/>
    </xf>
    <xf numFmtId="0" fontId="0" fillId="0" borderId="6" xfId="0" applyBorder="1"/>
    <xf numFmtId="0" fontId="2" fillId="0" borderId="1" xfId="0" applyFont="1" applyBorder="1" applyAlignment="1">
      <alignment wrapText="1"/>
    </xf>
    <xf numFmtId="0" fontId="9" fillId="3" borderId="0" xfId="0" applyFont="1" applyFill="1" applyAlignment="1">
      <alignment horizontal="left"/>
    </xf>
    <xf numFmtId="0" fontId="0" fillId="3" borderId="0" xfId="0" applyFill="1" applyAlignment="1">
      <alignment horizontal="left"/>
    </xf>
    <xf numFmtId="0" fontId="0" fillId="3" borderId="0" xfId="0" applyFill="1"/>
    <xf numFmtId="0" fontId="21" fillId="0" borderId="0" xfId="0" applyFont="1"/>
    <xf numFmtId="0" fontId="18" fillId="0" borderId="7" xfId="0" applyFont="1" applyBorder="1" applyAlignment="1">
      <alignment vertical="center"/>
    </xf>
    <xf numFmtId="0" fontId="0" fillId="0" borderId="8" xfId="0" applyBorder="1"/>
    <xf numFmtId="0" fontId="18" fillId="0" borderId="9" xfId="0" applyFont="1" applyBorder="1" applyAlignment="1">
      <alignment horizontal="left" vertical="center" indent="1"/>
    </xf>
    <xf numFmtId="0" fontId="0" fillId="0" borderId="10" xfId="0" applyBorder="1"/>
    <xf numFmtId="0" fontId="0" fillId="0" borderId="9" xfId="0" applyBorder="1"/>
    <xf numFmtId="0" fontId="0" fillId="0" borderId="11" xfId="0" applyBorder="1"/>
    <xf numFmtId="0" fontId="0" fillId="0" borderId="12" xfId="0" applyBorder="1"/>
    <xf numFmtId="0" fontId="23" fillId="0" borderId="0" xfId="0" applyFont="1"/>
    <xf numFmtId="0" fontId="24" fillId="0" borderId="0" xfId="0" applyFont="1"/>
    <xf numFmtId="0" fontId="25" fillId="0" borderId="0" xfId="0" applyFont="1"/>
    <xf numFmtId="0" fontId="0" fillId="7" borderId="0" xfId="0" applyFill="1"/>
    <xf numFmtId="0" fontId="11" fillId="5" borderId="0" xfId="0" applyFont="1" applyFill="1"/>
    <xf numFmtId="0" fontId="11" fillId="4" borderId="0" xfId="0" applyFont="1" applyFill="1"/>
    <xf numFmtId="0" fontId="11" fillId="7" borderId="0" xfId="0" applyFont="1" applyFill="1"/>
    <xf numFmtId="0" fontId="8" fillId="7" borderId="0" xfId="0" applyFont="1" applyFill="1"/>
    <xf numFmtId="0" fontId="8" fillId="5" borderId="0" xfId="0" applyFont="1" applyFill="1"/>
    <xf numFmtId="0" fontId="8" fillId="4" borderId="0" xfId="0" applyFont="1" applyFill="1"/>
    <xf numFmtId="0" fontId="13" fillId="7" borderId="0" xfId="0" applyFont="1" applyFill="1"/>
    <xf numFmtId="0" fontId="13" fillId="8" borderId="0" xfId="0" applyFont="1" applyFill="1"/>
    <xf numFmtId="0" fontId="27" fillId="0" borderId="0" xfId="0" applyFont="1" applyAlignment="1">
      <alignment readingOrder="1"/>
    </xf>
    <xf numFmtId="0" fontId="9" fillId="0" borderId="0" xfId="0" applyFont="1" applyAlignment="1">
      <alignment vertical="center" wrapText="1"/>
    </xf>
    <xf numFmtId="0" fontId="6" fillId="0" borderId="0" xfId="0" applyFont="1" applyAlignment="1">
      <alignment wrapText="1"/>
    </xf>
    <xf numFmtId="0" fontId="10" fillId="0" borderId="0" xfId="0" applyFont="1" applyAlignment="1">
      <alignment readingOrder="1"/>
    </xf>
    <xf numFmtId="0" fontId="0" fillId="6" borderId="3" xfId="0" applyFill="1" applyBorder="1"/>
    <xf numFmtId="0" fontId="11" fillId="6" borderId="3" xfId="0" applyFont="1" applyFill="1" applyBorder="1"/>
    <xf numFmtId="0" fontId="8" fillId="6" borderId="3" xfId="0" applyFont="1" applyFill="1" applyBorder="1"/>
    <xf numFmtId="0" fontId="13" fillId="6" borderId="3" xfId="0" applyFont="1" applyFill="1" applyBorder="1"/>
    <xf numFmtId="0" fontId="9" fillId="6" borderId="3" xfId="0" applyFont="1" applyFill="1" applyBorder="1"/>
    <xf numFmtId="0" fontId="0" fillId="6" borderId="3" xfId="0" applyFill="1" applyBorder="1" applyAlignment="1">
      <alignment wrapText="1"/>
    </xf>
    <xf numFmtId="0" fontId="28" fillId="9" borderId="13" xfId="0" applyFont="1" applyFill="1" applyBorder="1" applyAlignment="1">
      <alignment vertical="center"/>
    </xf>
    <xf numFmtId="0" fontId="29" fillId="0" borderId="0" xfId="0" applyFont="1" applyAlignment="1">
      <alignment vertical="center"/>
    </xf>
    <xf numFmtId="0" fontId="28" fillId="9" borderId="5" xfId="0" applyFont="1" applyFill="1" applyBorder="1" applyAlignment="1">
      <alignment vertical="center"/>
    </xf>
    <xf numFmtId="0" fontId="5" fillId="0" borderId="0" xfId="0" applyFont="1" applyAlignment="1">
      <alignment vertical="center"/>
    </xf>
    <xf numFmtId="0" fontId="30" fillId="0" borderId="0" xfId="0" applyFont="1"/>
    <xf numFmtId="0" fontId="31" fillId="0" borderId="0" xfId="0" applyFont="1"/>
    <xf numFmtId="0" fontId="9" fillId="0" borderId="0" xfId="0" applyFont="1" applyAlignment="1">
      <alignment horizontal="left" vertical="center"/>
    </xf>
    <xf numFmtId="0" fontId="9" fillId="0" borderId="0" xfId="0" applyFont="1" applyAlignment="1">
      <alignment vertical="center"/>
    </xf>
    <xf numFmtId="0" fontId="5" fillId="0" borderId="0" xfId="0" applyFont="1" applyAlignment="1">
      <alignment horizontal="center" vertical="center"/>
    </xf>
    <xf numFmtId="0" fontId="33" fillId="0" borderId="0" xfId="0" applyFont="1"/>
    <xf numFmtId="0" fontId="26" fillId="0" borderId="0" xfId="0" applyFont="1"/>
    <xf numFmtId="0" fontId="35" fillId="0" borderId="0" xfId="0" applyFont="1"/>
    <xf numFmtId="0" fontId="36" fillId="0" borderId="0" xfId="0" applyFont="1"/>
    <xf numFmtId="0" fontId="36" fillId="0" borderId="0" xfId="0" applyFont="1" applyAlignment="1">
      <alignment horizontal="left" vertical="center"/>
    </xf>
    <xf numFmtId="0" fontId="36" fillId="0" borderId="0" xfId="0" applyFont="1" applyAlignment="1">
      <alignment wrapText="1"/>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0" fontId="32" fillId="0" borderId="0" xfId="0" applyFont="1" applyAlignment="1">
      <alignment horizontal="center"/>
    </xf>
    <xf numFmtId="0" fontId="37" fillId="0" borderId="0" xfId="0" applyFont="1" applyAlignment="1">
      <alignment horizontal="center"/>
    </xf>
    <xf numFmtId="0" fontId="38" fillId="0" borderId="0" xfId="0" applyFont="1"/>
    <xf numFmtId="0" fontId="5" fillId="0" borderId="14" xfId="0" applyFont="1" applyBorder="1" applyAlignment="1">
      <alignment horizontal="left" vertical="center"/>
    </xf>
    <xf numFmtId="0" fontId="5" fillId="0" borderId="11" xfId="0" applyFont="1" applyBorder="1" applyAlignment="1">
      <alignment horizontal="left" vertical="center" wrapText="1"/>
    </xf>
    <xf numFmtId="0" fontId="39" fillId="11" borderId="0" xfId="0" applyFont="1" applyFill="1" applyAlignment="1">
      <alignment horizontal="center" vertical="center"/>
    </xf>
    <xf numFmtId="0" fontId="13" fillId="11" borderId="0" xfId="0" applyFont="1" applyFill="1"/>
    <xf numFmtId="0" fontId="40" fillId="11" borderId="0" xfId="0" applyFont="1" applyFill="1"/>
    <xf numFmtId="16" fontId="32" fillId="0" borderId="0" xfId="0" applyNumberFormat="1" applyFont="1" applyAlignment="1">
      <alignment horizontal="center"/>
    </xf>
    <xf numFmtId="0" fontId="32" fillId="12" borderId="0" xfId="0" applyFont="1" applyFill="1" applyAlignment="1">
      <alignment horizontal="center" vertical="center"/>
    </xf>
    <xf numFmtId="0" fontId="36" fillId="12" borderId="0" xfId="0" applyFont="1" applyFill="1" applyAlignment="1">
      <alignment horizontal="left" vertical="center"/>
    </xf>
    <xf numFmtId="0" fontId="9" fillId="12" borderId="0" xfId="0" applyFont="1" applyFill="1"/>
    <xf numFmtId="0" fontId="36" fillId="12" borderId="0" xfId="0" applyFont="1" applyFill="1"/>
    <xf numFmtId="0" fontId="0" fillId="12" borderId="0" xfId="0" applyFill="1"/>
    <xf numFmtId="0" fontId="11" fillId="12" borderId="0" xfId="0" applyFont="1" applyFill="1"/>
    <xf numFmtId="0" fontId="8" fillId="12" borderId="0" xfId="0" applyFont="1" applyFill="1"/>
    <xf numFmtId="0" fontId="13" fillId="12" borderId="0" xfId="0" applyFont="1" applyFill="1"/>
    <xf numFmtId="0" fontId="14" fillId="12" borderId="0" xfId="0" applyFont="1" applyFill="1"/>
    <xf numFmtId="0" fontId="14" fillId="0" borderId="0" xfId="0" applyFont="1" applyAlignment="1">
      <alignment vertical="center"/>
    </xf>
    <xf numFmtId="0" fontId="14" fillId="12" borderId="0" xfId="0" applyFont="1" applyFill="1" applyAlignment="1">
      <alignment vertical="center"/>
    </xf>
    <xf numFmtId="0" fontId="14" fillId="6" borderId="3" xfId="0" applyFont="1" applyFill="1" applyBorder="1" applyAlignment="1">
      <alignment vertical="center"/>
    </xf>
    <xf numFmtId="0" fontId="42" fillId="0" borderId="0" xfId="1"/>
    <xf numFmtId="0" fontId="0" fillId="0" borderId="0" xfId="0" applyAlignment="1">
      <alignment horizontal="left" vertical="top"/>
    </xf>
    <xf numFmtId="0" fontId="43" fillId="0" borderId="0" xfId="0" applyFont="1"/>
    <xf numFmtId="0" fontId="44" fillId="0" borderId="0" xfId="0" applyFont="1"/>
    <xf numFmtId="0" fontId="9" fillId="7" borderId="0" xfId="0" applyFont="1" applyFill="1"/>
    <xf numFmtId="0" fontId="48" fillId="0" borderId="1" xfId="0" applyFont="1" applyBorder="1"/>
    <xf numFmtId="0" fontId="12" fillId="0" borderId="0" xfId="1" applyFont="1"/>
    <xf numFmtId="0" fontId="2" fillId="0" borderId="5" xfId="0" applyFont="1" applyBorder="1" applyAlignment="1">
      <alignment wrapText="1"/>
    </xf>
    <xf numFmtId="0" fontId="9" fillId="3" borderId="0" xfId="0" applyFont="1" applyFill="1"/>
    <xf numFmtId="0" fontId="36" fillId="3" borderId="0" xfId="0" applyFont="1" applyFill="1"/>
    <xf numFmtId="0" fontId="9" fillId="13" borderId="0" xfId="0" applyFont="1" applyFill="1"/>
    <xf numFmtId="0" fontId="0" fillId="13" borderId="0" xfId="0" applyFill="1"/>
    <xf numFmtId="0" fontId="53" fillId="0" borderId="0" xfId="0" applyFont="1" applyAlignment="1">
      <alignment vertical="center"/>
    </xf>
    <xf numFmtId="0" fontId="14" fillId="7" borderId="0" xfId="0" applyFont="1" applyFill="1" applyAlignment="1">
      <alignment vertical="center"/>
    </xf>
    <xf numFmtId="0" fontId="14" fillId="7" borderId="0" xfId="0" applyFont="1" applyFill="1"/>
    <xf numFmtId="0" fontId="54" fillId="12" borderId="0" xfId="0" applyFont="1" applyFill="1"/>
    <xf numFmtId="0" fontId="59" fillId="0" borderId="0" xfId="0" applyFont="1" applyAlignment="1">
      <alignment wrapText="1"/>
    </xf>
    <xf numFmtId="0" fontId="59" fillId="0" borderId="0" xfId="0" applyFont="1"/>
    <xf numFmtId="0" fontId="56" fillId="0" borderId="0" xfId="0" applyFont="1"/>
    <xf numFmtId="0" fontId="9" fillId="14" borderId="0" xfId="0" applyFont="1" applyFill="1"/>
    <xf numFmtId="0" fontId="60" fillId="0" borderId="0" xfId="0" applyFont="1"/>
    <xf numFmtId="0" fontId="0" fillId="15" borderId="0" xfId="0" applyFill="1"/>
    <xf numFmtId="0" fontId="14" fillId="15" borderId="0" xfId="0" applyFont="1" applyFill="1"/>
    <xf numFmtId="0" fontId="9" fillId="15" borderId="0" xfId="0" applyFont="1" applyFill="1" applyAlignment="1">
      <alignment wrapText="1"/>
    </xf>
    <xf numFmtId="0" fontId="9" fillId="15" borderId="0" xfId="0" applyFont="1" applyFill="1"/>
    <xf numFmtId="0" fontId="9" fillId="0" borderId="0" xfId="0" applyFont="1" applyAlignment="1">
      <alignment horizontal="left" vertical="top"/>
    </xf>
    <xf numFmtId="0" fontId="14" fillId="0" borderId="0" xfId="0" applyFont="1" applyAlignment="1">
      <alignment vertical="center" wrapText="1"/>
    </xf>
    <xf numFmtId="0" fontId="8" fillId="0" borderId="0" xfId="0" applyFont="1" applyAlignment="1">
      <alignment wrapText="1"/>
    </xf>
    <xf numFmtId="0" fontId="13" fillId="0" borderId="0" xfId="0" applyFont="1" applyAlignment="1">
      <alignment wrapText="1"/>
    </xf>
    <xf numFmtId="0" fontId="62" fillId="0" borderId="0" xfId="0" applyFont="1"/>
    <xf numFmtId="0" fontId="60" fillId="15" borderId="0" xfId="0" applyFont="1" applyFill="1"/>
    <xf numFmtId="0" fontId="54" fillId="15" borderId="0" xfId="0" applyFont="1" applyFill="1" applyAlignment="1">
      <alignment vertical="center"/>
    </xf>
    <xf numFmtId="0" fontId="13" fillId="15" borderId="0" xfId="0" applyFont="1" applyFill="1"/>
    <xf numFmtId="0" fontId="0" fillId="15" borderId="0" xfId="0" applyFill="1" applyAlignment="1">
      <alignment wrapText="1"/>
    </xf>
    <xf numFmtId="0" fontId="56" fillId="0" borderId="0" xfId="0" applyFont="1" applyAlignment="1">
      <alignment wrapText="1"/>
    </xf>
    <xf numFmtId="0" fontId="2" fillId="0" borderId="0" xfId="0" applyFont="1" applyAlignment="1">
      <alignment horizontal="center"/>
    </xf>
    <xf numFmtId="0" fontId="0" fillId="6" borderId="3" xfId="0" applyFill="1" applyBorder="1" applyAlignment="1">
      <alignment horizontal="center"/>
    </xf>
    <xf numFmtId="0" fontId="0" fillId="0" borderId="0" xfId="0" applyAlignment="1">
      <alignment horizontal="center"/>
    </xf>
    <xf numFmtId="0" fontId="13" fillId="0" borderId="0" xfId="0" applyFont="1" applyAlignment="1">
      <alignment horizontal="center"/>
    </xf>
    <xf numFmtId="0" fontId="21" fillId="0" borderId="0" xfId="0" applyFont="1" applyAlignment="1">
      <alignment horizontal="center"/>
    </xf>
    <xf numFmtId="0" fontId="11" fillId="6" borderId="3" xfId="0" applyFont="1" applyFill="1" applyBorder="1" applyAlignment="1">
      <alignment horizontal="center"/>
    </xf>
    <xf numFmtId="0" fontId="9" fillId="6" borderId="2" xfId="0" applyFont="1" applyFill="1" applyBorder="1"/>
    <xf numFmtId="0" fontId="14" fillId="6" borderId="2" xfId="0" applyFont="1" applyFill="1" applyBorder="1" applyAlignment="1">
      <alignment vertical="center"/>
    </xf>
    <xf numFmtId="0" fontId="11" fillId="6" borderId="2" xfId="0" applyFont="1" applyFill="1" applyBorder="1"/>
    <xf numFmtId="0" fontId="8" fillId="6" borderId="2" xfId="0" applyFont="1" applyFill="1" applyBorder="1"/>
    <xf numFmtId="0" fontId="0" fillId="6" borderId="2" xfId="0" applyFill="1" applyBorder="1" applyAlignment="1">
      <alignment horizontal="center"/>
    </xf>
    <xf numFmtId="0" fontId="2" fillId="0" borderId="5" xfId="0" applyFont="1" applyBorder="1" applyAlignment="1">
      <alignment horizontal="left" vertical="center" wrapText="1"/>
    </xf>
    <xf numFmtId="0" fontId="16" fillId="0" borderId="5" xfId="0" applyFont="1" applyBorder="1" applyAlignment="1">
      <alignment horizontal="left" vertical="center" wrapText="1"/>
    </xf>
    <xf numFmtId="0" fontId="4" fillId="0" borderId="5" xfId="0" applyFont="1" applyBorder="1" applyAlignment="1">
      <alignment horizontal="left" vertical="center" wrapText="1"/>
    </xf>
    <xf numFmtId="0" fontId="2" fillId="0" borderId="5" xfId="0" applyFont="1" applyBorder="1" applyAlignment="1">
      <alignment horizontal="center" vertical="center" wrapText="1"/>
    </xf>
    <xf numFmtId="0" fontId="62" fillId="0" borderId="0" xfId="0" applyFont="1" applyAlignment="1">
      <alignment horizontal="center"/>
    </xf>
    <xf numFmtId="0" fontId="54" fillId="0" borderId="0" xfId="0" applyFont="1"/>
    <xf numFmtId="0" fontId="66" fillId="0" borderId="0" xfId="0" applyFont="1"/>
    <xf numFmtId="0" fontId="9" fillId="0" borderId="0" xfId="0" applyFont="1" applyAlignment="1">
      <alignment horizontal="center"/>
    </xf>
    <xf numFmtId="0" fontId="9" fillId="0" borderId="0" xfId="0" applyFont="1" applyAlignment="1">
      <alignment horizontal="center" wrapText="1"/>
    </xf>
    <xf numFmtId="0" fontId="13" fillId="0" borderId="0" xfId="0" applyFont="1" applyAlignment="1">
      <alignment horizontal="center" wrapText="1"/>
    </xf>
    <xf numFmtId="0" fontId="9" fillId="0" borderId="0" xfId="0" applyFont="1" applyAlignment="1">
      <alignment horizontal="center" vertical="center"/>
    </xf>
    <xf numFmtId="0" fontId="56" fillId="0" borderId="0" xfId="0" applyFont="1" applyAlignment="1">
      <alignment horizontal="center"/>
    </xf>
    <xf numFmtId="0" fontId="0" fillId="0" borderId="0" xfId="0" applyAlignment="1">
      <alignment horizontal="center" wrapText="1"/>
    </xf>
    <xf numFmtId="0" fontId="66" fillId="0" borderId="0" xfId="0" applyFont="1" applyAlignment="1">
      <alignment wrapText="1"/>
    </xf>
    <xf numFmtId="0" fontId="66" fillId="6" borderId="3" xfId="0" applyFont="1" applyFill="1" applyBorder="1" applyAlignment="1">
      <alignment wrapText="1"/>
    </xf>
    <xf numFmtId="0" fontId="66" fillId="0" borderId="0" xfId="0" applyFont="1" applyAlignment="1">
      <alignment vertical="center" wrapText="1"/>
    </xf>
    <xf numFmtId="0" fontId="55" fillId="0" borderId="0" xfId="0" applyFont="1" applyAlignment="1">
      <alignment wrapText="1"/>
    </xf>
    <xf numFmtId="0" fontId="67" fillId="0" borderId="5" xfId="0" applyFont="1" applyBorder="1" applyAlignment="1">
      <alignment horizontal="left" vertical="center" wrapText="1"/>
    </xf>
    <xf numFmtId="0" fontId="48" fillId="0" borderId="5" xfId="0" applyFont="1" applyBorder="1" applyAlignment="1">
      <alignment horizontal="center" vertical="center" wrapText="1"/>
    </xf>
    <xf numFmtId="0" fontId="8" fillId="6" borderId="3" xfId="0" applyFont="1" applyFill="1" applyBorder="1" applyAlignment="1">
      <alignment wrapText="1"/>
    </xf>
    <xf numFmtId="0" fontId="8" fillId="0" borderId="0" xfId="0" applyFont="1" applyAlignment="1">
      <alignment vertical="center" wrapText="1"/>
    </xf>
    <xf numFmtId="0" fontId="63" fillId="0" borderId="0" xfId="0" applyFont="1" applyAlignment="1">
      <alignment wrapText="1"/>
    </xf>
    <xf numFmtId="0" fontId="54" fillId="0" borderId="0" xfId="0" applyFont="1" applyAlignment="1">
      <alignment vertical="center"/>
    </xf>
    <xf numFmtId="0" fontId="11" fillId="6" borderId="3" xfId="0" applyFont="1" applyFill="1" applyBorder="1" applyAlignment="1">
      <alignment wrapText="1"/>
    </xf>
    <xf numFmtId="0" fontId="60" fillId="0" borderId="0" xfId="0" applyFont="1" applyAlignment="1">
      <alignment horizontal="center"/>
    </xf>
    <xf numFmtId="0" fontId="9" fillId="13" borderId="0" xfId="0" applyFont="1" applyFill="1" applyAlignment="1">
      <alignment wrapText="1"/>
    </xf>
    <xf numFmtId="0" fontId="11" fillId="0" borderId="0" xfId="0" applyFont="1" applyAlignment="1">
      <alignment wrapText="1"/>
    </xf>
    <xf numFmtId="0" fontId="67" fillId="0" borderId="0" xfId="0" applyFont="1" applyAlignment="1">
      <alignment wrapText="1"/>
    </xf>
    <xf numFmtId="16" fontId="36" fillId="0" borderId="0" xfId="0" applyNumberFormat="1" applyFont="1"/>
    <xf numFmtId="49" fontId="36" fillId="0" borderId="0" xfId="0" applyNumberFormat="1" applyFont="1"/>
    <xf numFmtId="49" fontId="32" fillId="0" borderId="0" xfId="0" applyNumberFormat="1" applyFont="1" applyAlignment="1">
      <alignment horizontal="center"/>
    </xf>
    <xf numFmtId="164" fontId="11" fillId="0" borderId="0" xfId="0" applyNumberFormat="1" applyFont="1"/>
    <xf numFmtId="164" fontId="8" fillId="0" borderId="0" xfId="0" applyNumberFormat="1" applyFont="1"/>
    <xf numFmtId="0" fontId="48" fillId="0" borderId="0" xfId="0" applyFont="1"/>
    <xf numFmtId="0" fontId="48" fillId="0" borderId="5" xfId="0" applyFont="1" applyBorder="1" applyAlignment="1">
      <alignment horizontal="left" vertical="center" wrapText="1"/>
    </xf>
    <xf numFmtId="0" fontId="60" fillId="6" borderId="2" xfId="0" applyFont="1" applyFill="1" applyBorder="1"/>
    <xf numFmtId="0" fontId="60" fillId="6" borderId="3" xfId="0" applyFont="1" applyFill="1" applyBorder="1"/>
    <xf numFmtId="0" fontId="13" fillId="6" borderId="2" xfId="0" applyFont="1" applyFill="1" applyBorder="1"/>
    <xf numFmtId="164" fontId="0" fillId="0" borderId="0" xfId="0" applyNumberFormat="1" applyAlignment="1">
      <alignment horizontal="right"/>
    </xf>
    <xf numFmtId="0" fontId="0" fillId="0" borderId="0" xfId="0" applyAlignment="1">
      <alignment horizontal="right"/>
    </xf>
    <xf numFmtId="164" fontId="13" fillId="0" borderId="0" xfId="0" applyNumberFormat="1" applyFont="1"/>
    <xf numFmtId="0" fontId="9" fillId="12" borderId="0" xfId="0" applyFont="1" applyFill="1" applyAlignment="1">
      <alignment horizontal="left" vertical="center"/>
    </xf>
    <xf numFmtId="0" fontId="9"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left" vertical="center"/>
    </xf>
    <xf numFmtId="0" fontId="0" fillId="12" borderId="0" xfId="0" applyFill="1" applyAlignment="1">
      <alignment horizontal="left" vertical="center"/>
    </xf>
    <xf numFmtId="0" fontId="34" fillId="10" borderId="14" xfId="0" applyFont="1" applyFill="1" applyBorder="1" applyAlignment="1">
      <alignment horizontal="center" vertical="center"/>
    </xf>
    <xf numFmtId="0" fontId="34" fillId="10" borderId="3" xfId="0" applyFont="1" applyFill="1" applyBorder="1" applyAlignment="1">
      <alignment horizontal="center" vertical="center"/>
    </xf>
    <xf numFmtId="0" fontId="34" fillId="10" borderId="15" xfId="0" applyFont="1" applyFill="1" applyBorder="1" applyAlignment="1">
      <alignment horizontal="center" vertical="center"/>
    </xf>
    <xf numFmtId="0" fontId="48" fillId="2" borderId="3" xfId="0" applyFont="1" applyFill="1" applyBorder="1" applyAlignment="1">
      <alignment horizontal="center"/>
    </xf>
    <xf numFmtId="0" fontId="48" fillId="0" borderId="5" xfId="0" applyFont="1" applyBorder="1" applyAlignment="1">
      <alignment horizontal="center" wrapText="1"/>
    </xf>
    <xf numFmtId="0" fontId="12" fillId="0" borderId="0" xfId="1" applyFont="1" applyBorder="1"/>
    <xf numFmtId="0" fontId="12" fillId="0" borderId="0" xfId="1" applyFont="1" applyFill="1"/>
  </cellXfs>
  <cellStyles count="2">
    <cellStyle name="Hyperlink" xfId="1" xr:uid="{00000000-000B-0000-0000-000008000000}"/>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ww.ncbi.nlm.nih.gov/pmc/articles/PMC10859794/" TargetMode="External"/><Relationship Id="rId18" Type="http://schemas.openxmlformats.org/officeDocument/2006/relationships/hyperlink" Target="https://biodiversitypmc.sibils.org/api/fetch?ids=PMC10745727&amp;col=pmc&amp;format=bioc" TargetMode="External"/><Relationship Id="rId26" Type="http://schemas.openxmlformats.org/officeDocument/2006/relationships/hyperlink" Target="https://biodiversitypmc.sibils.org/api/fetch?ids=PMC10752980&amp;col=pmc&amp;format=bioc" TargetMode="External"/><Relationship Id="rId39" Type="http://schemas.openxmlformats.org/officeDocument/2006/relationships/hyperlink" Target="https://biodiversitypmc.sibils.org/api/fetch?ids=PMC8797170&amp;col=pmc&amp;format=bioc" TargetMode="External"/><Relationship Id="rId21" Type="http://schemas.openxmlformats.org/officeDocument/2006/relationships/hyperlink" Target="https://biodiversitypmc.sibils.org/api/fetch?ids=PMC3035531&amp;col=pmc&amp;format=bioc" TargetMode="External"/><Relationship Id="rId34" Type="http://schemas.openxmlformats.org/officeDocument/2006/relationships/hyperlink" Target="https://www.ncbi.nlm.nih.gov/pmc/articles/PMC10747904/" TargetMode="External"/><Relationship Id="rId42" Type="http://schemas.openxmlformats.org/officeDocument/2006/relationships/hyperlink" Target="https://biodiversitypmc.sibils.org/?query=PMC10672927&amp;tab=pmc" TargetMode="External"/><Relationship Id="rId7" Type="http://schemas.openxmlformats.org/officeDocument/2006/relationships/hyperlink" Target="https://sibils.text-analytics.ch/api/fetch?ids=PMC3913508&amp;col=pmc&amp;format=bioc" TargetMode="External"/><Relationship Id="rId2" Type="http://schemas.openxmlformats.org/officeDocument/2006/relationships/hyperlink" Target="https://sibils.text-analytics.ch/api/fetch?ids=PMC10686054&amp;col=pmc&amp;format=bioc" TargetMode="External"/><Relationship Id="rId16" Type="http://schemas.openxmlformats.org/officeDocument/2006/relationships/hyperlink" Target="https://www.ncbi.nlm.nih.gov/pmc/articles/PMC10767313/" TargetMode="External"/><Relationship Id="rId29" Type="http://schemas.openxmlformats.org/officeDocument/2006/relationships/hyperlink" Target="https://biodiversitypmc.sibils.org/api/fetch?ids=PMC3896851&amp;col=pmc&amp;format=bioc" TargetMode="External"/><Relationship Id="rId1" Type="http://schemas.openxmlformats.org/officeDocument/2006/relationships/hyperlink" Target="https://sibils.text-analytics.ch/api/fetch?ids=PMC10610582&amp;col=pmc&amp;format=bioc" TargetMode="External"/><Relationship Id="rId6" Type="http://schemas.openxmlformats.org/officeDocument/2006/relationships/hyperlink" Target="https://sibils.text-analytics.ch/api/fetch?ids=14515152&amp;col=medline&amp;format=bioc" TargetMode="External"/><Relationship Id="rId11" Type="http://schemas.openxmlformats.org/officeDocument/2006/relationships/hyperlink" Target="https://sibils.text-analytics.ch/api/fetch?ids=14584365&amp;col=medline&amp;format=bioc" TargetMode="External"/><Relationship Id="rId24" Type="http://schemas.openxmlformats.org/officeDocument/2006/relationships/hyperlink" Target="https://biodiversitypmc.sibils.org/api/fetch?ids=PMC10837613&amp;col=pmc&amp;format=bioc" TargetMode="External"/><Relationship Id="rId32" Type="http://schemas.openxmlformats.org/officeDocument/2006/relationships/hyperlink" Target="https://biodiversitypmc.sibils.org/api/fetch?ids=PMC10765567&amp;col=pmc&amp;format=bioc" TargetMode="External"/><Relationship Id="rId37" Type="http://schemas.openxmlformats.org/officeDocument/2006/relationships/hyperlink" Target="https://biodiversitypmc.sibils.org/api/fetch?ids=PMC4806713&amp;col=pmc&amp;format=bioc" TargetMode="External"/><Relationship Id="rId40" Type="http://schemas.openxmlformats.org/officeDocument/2006/relationships/hyperlink" Target="https://biodiversitypmc.sibils.org/?query=Q%20Fever%20goats&amp;tab=pmc" TargetMode="External"/><Relationship Id="rId45" Type="http://schemas.openxmlformats.org/officeDocument/2006/relationships/hyperlink" Target="https://biodiversitypmc.sibils.org/?query=Francisella%20tularensis%20hares%20tick&amp;tab=pmc" TargetMode="External"/><Relationship Id="rId5" Type="http://schemas.openxmlformats.org/officeDocument/2006/relationships/hyperlink" Target="https://sibils.text-analytics.ch/api/fetch?ids=3381603&amp;col=medline&amp;format=bioc" TargetMode="External"/><Relationship Id="rId15" Type="http://schemas.openxmlformats.org/officeDocument/2006/relationships/hyperlink" Target="https://www.ncbi.nlm.nih.gov/pmc/articles/PMC10561574/" TargetMode="External"/><Relationship Id="rId23" Type="http://schemas.openxmlformats.org/officeDocument/2006/relationships/hyperlink" Target="https://biodiversitypmc.sibils.org/api/fetch?ids=PMC10620433&amp;col=pmc&amp;format=bioc" TargetMode="External"/><Relationship Id="rId28" Type="http://schemas.openxmlformats.org/officeDocument/2006/relationships/hyperlink" Target="https://biodiversitypmc.sibils.org/api/fetch?ids=PMC11573694&amp;col=pmc&amp;format=bioc" TargetMode="External"/><Relationship Id="rId36" Type="http://schemas.openxmlformats.org/officeDocument/2006/relationships/hyperlink" Target="https://biodiversitypmc.sibils.org/api/fetch?ids=PMC10703501&amp;col=pmc&amp;format=bioc" TargetMode="External"/><Relationship Id="rId10" Type="http://schemas.openxmlformats.org/officeDocument/2006/relationships/hyperlink" Target="https://sibils.text-analytics.ch/api/fetch?ids=PMC10740895&amp;col=pmc&amp;format=bioc" TargetMode="External"/><Relationship Id="rId19" Type="http://schemas.openxmlformats.org/officeDocument/2006/relationships/hyperlink" Target="https://biodiversitypmc.sibils.org/api/fetch?ids=PMC10716283&amp;col=pmc&amp;format=bioc" TargetMode="External"/><Relationship Id="rId31" Type="http://schemas.openxmlformats.org/officeDocument/2006/relationships/hyperlink" Target="https://biodiversitypmc.sibils.org/api/fetch?ids=PMC10778288&amp;col=pmc&amp;format=bioc" TargetMode="External"/><Relationship Id="rId44" Type="http://schemas.openxmlformats.org/officeDocument/2006/relationships/hyperlink" Target="https://biodiversitypmc.sibils.org/?query=Francisella%20tularensis%20hares%20tick&amp;tab=pmc" TargetMode="External"/><Relationship Id="rId4" Type="http://schemas.openxmlformats.org/officeDocument/2006/relationships/hyperlink" Target="https://sibils.text-analytics.ch/api/fetch?ids=PMC10820641&amp;col=pmc&amp;format=bioc" TargetMode="External"/><Relationship Id="rId9" Type="http://schemas.openxmlformats.org/officeDocument/2006/relationships/hyperlink" Target="https://sibils.text-analytics.ch/api/fetch?ids=PMC10810618&amp;col=pmc&amp;format=bioc" TargetMode="External"/><Relationship Id="rId14" Type="http://schemas.openxmlformats.org/officeDocument/2006/relationships/hyperlink" Target="https://www.ncbi.nlm.nih.gov/pmc/articles/PMC10756841/" TargetMode="External"/><Relationship Id="rId22" Type="http://schemas.openxmlformats.org/officeDocument/2006/relationships/hyperlink" Target="https://biodiversitypmc.sibils.org/api/fetch?ids=PMC4025015&amp;col=pmc&amp;format=bioc" TargetMode="External"/><Relationship Id="rId27" Type="http://schemas.openxmlformats.org/officeDocument/2006/relationships/hyperlink" Target="https://biodiversitypmc.sibils.org/api/fetch?ids=PMC3557902&amp;col=pmc&amp;format=bioc" TargetMode="External"/><Relationship Id="rId30" Type="http://schemas.openxmlformats.org/officeDocument/2006/relationships/hyperlink" Target="https://biodiversitypmc.sibils.org/api/fetch?ids=PMC11540827&amp;col=pmc&amp;format=bioc" TargetMode="External"/><Relationship Id="rId35" Type="http://schemas.openxmlformats.org/officeDocument/2006/relationships/hyperlink" Target="https://biodiversitypmc.sibils.org/api/fetch?ids=PMC10747904&amp;col=pmc&amp;format=bioc" TargetMode="External"/><Relationship Id="rId43" Type="http://schemas.openxmlformats.org/officeDocument/2006/relationships/hyperlink" Target="https://biodiversitypmc.sibils.org/?query=PMC9952982%C2%A0&amp;tab=pmc" TargetMode="External"/><Relationship Id="rId8" Type="http://schemas.openxmlformats.org/officeDocument/2006/relationships/hyperlink" Target="https://sibils.text-analytics.ch/api/fetch?ids=10405354&amp;col=medline&amp;format=bioc" TargetMode="External"/><Relationship Id="rId3" Type="http://schemas.openxmlformats.org/officeDocument/2006/relationships/hyperlink" Target="https://sibils.text-analytics.ch/api/fetch?ids=PMC10588310&amp;col=pmc&amp;format=bioc" TargetMode="External"/><Relationship Id="rId12" Type="http://schemas.openxmlformats.org/officeDocument/2006/relationships/hyperlink" Target="https://www.ncbi.nlm.nih.gov/pmc/articles/PMC10746266/" TargetMode="External"/><Relationship Id="rId17" Type="http://schemas.openxmlformats.org/officeDocument/2006/relationships/hyperlink" Target="https://biodiversitypmc.sibils.org/?query=PMC10651317&amp;tab=pmc" TargetMode="External"/><Relationship Id="rId25" Type="http://schemas.openxmlformats.org/officeDocument/2006/relationships/hyperlink" Target="https://biodiversitypmc.sibils.org/api/fetch?ids=PMC10612049&amp;col=pmc&amp;format=bioc" TargetMode="External"/><Relationship Id="rId33" Type="http://schemas.openxmlformats.org/officeDocument/2006/relationships/hyperlink" Target="https://biodiversitypmc.sibils.org/api/fetch?ids=PMC11561372&amp;col=pmc&amp;format=bioc" TargetMode="External"/><Relationship Id="rId38" Type="http://schemas.openxmlformats.org/officeDocument/2006/relationships/hyperlink" Target="https://biodiversitypmc.sibils.org/api/fetch?ids=PMC10938855&amp;col=pmc&amp;format=bioc" TargetMode="External"/><Relationship Id="rId20" Type="http://schemas.openxmlformats.org/officeDocument/2006/relationships/hyperlink" Target="https://biodiversitypmc.sibils.org/api/fetch?ids=PMC3320412&amp;col=pmc&amp;format=bioc" TargetMode="External"/><Relationship Id="rId41" Type="http://schemas.openxmlformats.org/officeDocument/2006/relationships/hyperlink" Target="https://biodiversitypmc.sibils.org/?query=PMC10404987%C2%A0&amp;tab=pmc"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cbi.nlm.nih.gov/pmc/articles/PMC10859794/" TargetMode="External"/><Relationship Id="rId1" Type="http://schemas.openxmlformats.org/officeDocument/2006/relationships/hyperlink" Target="https://www.ncbi.nlm.nih.gov/pmc/articles/PMC10746266/"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ncbi.nlm.nih.gov/pmc/articles/PMC10561574/" TargetMode="External"/><Relationship Id="rId2" Type="http://schemas.openxmlformats.org/officeDocument/2006/relationships/hyperlink" Target="https://www.ncbi.nlm.nih.gov/pmc/articles/PMC10859794/" TargetMode="External"/><Relationship Id="rId1" Type="http://schemas.openxmlformats.org/officeDocument/2006/relationships/hyperlink" Target="https://www.ncbi.nlm.nih.gov/pmc/articles/PMC10746266/" TargetMode="External"/><Relationship Id="rId6" Type="http://schemas.openxmlformats.org/officeDocument/2006/relationships/printerSettings" Target="../printerSettings/printerSettings3.bin"/><Relationship Id="rId5" Type="http://schemas.openxmlformats.org/officeDocument/2006/relationships/hyperlink" Target="https://www.ncbi.nlm.nih.gov/pmc/articles/PMC10767313/" TargetMode="External"/><Relationship Id="rId4" Type="http://schemas.openxmlformats.org/officeDocument/2006/relationships/hyperlink" Target="https://www.ncbi.nlm.nih.gov/pmc/articles/PMC1075684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236C-63DC-4F2D-8688-135390FDA06B}">
  <sheetPr>
    <tabColor rgb="FFFF0000"/>
  </sheetPr>
  <dimension ref="A1:M50"/>
  <sheetViews>
    <sheetView workbookViewId="0"/>
  </sheetViews>
  <sheetFormatPr defaultColWidth="11.42578125" defaultRowHeight="12.6"/>
  <cols>
    <col min="1" max="1" width="7.42578125" customWidth="1"/>
    <col min="2" max="2" width="4.7109375" customWidth="1"/>
  </cols>
  <sheetData>
    <row r="1" spans="1:13" ht="18">
      <c r="A1" s="75" t="s">
        <v>0</v>
      </c>
    </row>
    <row r="3" spans="1:13" ht="14.1">
      <c r="A3" s="71" t="s">
        <v>1</v>
      </c>
    </row>
    <row r="4" spans="1:13" ht="12.95">
      <c r="B4" s="83">
        <v>1</v>
      </c>
      <c r="C4" s="78" t="s">
        <v>2</v>
      </c>
    </row>
    <row r="5" spans="1:13" ht="12.95">
      <c r="B5" s="83">
        <v>2</v>
      </c>
      <c r="C5" s="78" t="s">
        <v>3</v>
      </c>
    </row>
    <row r="6" spans="1:13" ht="12.95">
      <c r="B6" s="91"/>
      <c r="C6" s="78" t="s">
        <v>4</v>
      </c>
    </row>
    <row r="7" spans="1:13" ht="12.95">
      <c r="B7" s="83">
        <v>3</v>
      </c>
      <c r="C7" s="78" t="s">
        <v>5</v>
      </c>
    </row>
    <row r="8" spans="1:13" ht="12.95">
      <c r="B8" s="83">
        <v>4</v>
      </c>
      <c r="C8" s="78" t="s">
        <v>6</v>
      </c>
    </row>
    <row r="9" spans="1:13" ht="12.95">
      <c r="B9" s="83">
        <v>5</v>
      </c>
      <c r="C9" s="78" t="s">
        <v>7</v>
      </c>
    </row>
    <row r="10" spans="1:13" ht="12.95">
      <c r="B10" s="83">
        <v>6</v>
      </c>
      <c r="C10" s="78" t="s">
        <v>8</v>
      </c>
    </row>
    <row r="11" spans="1:13" ht="12.95">
      <c r="B11" s="83">
        <v>7</v>
      </c>
      <c r="C11" s="78" t="s">
        <v>9</v>
      </c>
    </row>
    <row r="12" spans="1:13" ht="12.95">
      <c r="B12" s="84" t="s">
        <v>10</v>
      </c>
      <c r="C12" s="85" t="s">
        <v>11</v>
      </c>
      <c r="D12" s="10"/>
      <c r="E12" s="10"/>
      <c r="F12" s="10"/>
      <c r="G12" s="10"/>
      <c r="H12" s="10"/>
      <c r="I12" s="10"/>
      <c r="J12" s="10"/>
      <c r="K12" s="10"/>
      <c r="L12" s="10"/>
      <c r="M12" s="10"/>
    </row>
    <row r="14" spans="1:13" ht="14.1">
      <c r="A14" s="71" t="s">
        <v>12</v>
      </c>
    </row>
    <row r="15" spans="1:13" ht="12.95">
      <c r="B15" s="83">
        <v>1</v>
      </c>
      <c r="C15" s="78" t="s">
        <v>13</v>
      </c>
    </row>
    <row r="16" spans="1:13" ht="12.95">
      <c r="B16" s="83">
        <v>2</v>
      </c>
      <c r="C16" s="78" t="s">
        <v>14</v>
      </c>
    </row>
    <row r="17" spans="1:4" ht="12.95">
      <c r="B17" s="83">
        <v>3</v>
      </c>
      <c r="C17" s="78" t="s">
        <v>15</v>
      </c>
    </row>
    <row r="18" spans="1:4" ht="12.95">
      <c r="B18" s="83">
        <v>4</v>
      </c>
      <c r="C18" s="78" t="s">
        <v>16</v>
      </c>
    </row>
    <row r="19" spans="1:4" ht="12.95">
      <c r="B19" s="83">
        <v>5</v>
      </c>
      <c r="C19" s="78" t="s">
        <v>17</v>
      </c>
    </row>
    <row r="20" spans="1:4" ht="12.95">
      <c r="B20" s="83">
        <v>6</v>
      </c>
      <c r="C20" s="78" t="s">
        <v>18</v>
      </c>
    </row>
    <row r="21" spans="1:4" ht="12.95">
      <c r="B21" s="83"/>
      <c r="C21" s="78"/>
    </row>
    <row r="22" spans="1:4" ht="14.1">
      <c r="A22" s="71" t="s">
        <v>19</v>
      </c>
      <c r="B22" s="83"/>
      <c r="C22" s="78"/>
    </row>
    <row r="23" spans="1:4" ht="14.1">
      <c r="A23" s="71"/>
      <c r="B23" s="180" t="s">
        <v>20</v>
      </c>
      <c r="C23" s="78" t="s">
        <v>21</v>
      </c>
    </row>
    <row r="24" spans="1:4" ht="14.1">
      <c r="A24" s="71"/>
      <c r="B24" s="83">
        <v>1</v>
      </c>
      <c r="C24" s="78" t="s">
        <v>22</v>
      </c>
    </row>
    <row r="25" spans="1:4" ht="14.1">
      <c r="A25" s="71"/>
      <c r="B25" s="83">
        <v>2</v>
      </c>
      <c r="C25" s="78" t="s">
        <v>23</v>
      </c>
    </row>
    <row r="26" spans="1:4" ht="14.1">
      <c r="A26" s="71"/>
      <c r="B26" s="83">
        <v>3</v>
      </c>
      <c r="C26" s="78" t="s">
        <v>24</v>
      </c>
    </row>
    <row r="27" spans="1:4" ht="14.1">
      <c r="A27" s="71"/>
      <c r="B27" s="83">
        <v>4</v>
      </c>
      <c r="C27" s="78" t="s">
        <v>25</v>
      </c>
    </row>
    <row r="28" spans="1:4" ht="14.1">
      <c r="A28" s="71"/>
      <c r="B28" s="83">
        <v>5</v>
      </c>
      <c r="C28" s="78" t="s">
        <v>26</v>
      </c>
    </row>
    <row r="29" spans="1:4" ht="14.1">
      <c r="A29" s="71"/>
      <c r="B29" s="83">
        <v>6</v>
      </c>
      <c r="C29" s="78" t="s">
        <v>27</v>
      </c>
    </row>
    <row r="30" spans="1:4" ht="12.95">
      <c r="B30" s="83"/>
      <c r="C30" s="179" t="s">
        <v>28</v>
      </c>
      <c r="D30" s="116" t="s">
        <v>29</v>
      </c>
    </row>
    <row r="31" spans="1:4" ht="12.95">
      <c r="B31" s="83"/>
      <c r="C31" s="179" t="s">
        <v>30</v>
      </c>
      <c r="D31" t="s">
        <v>31</v>
      </c>
    </row>
    <row r="32" spans="1:4" ht="12.95">
      <c r="B32" s="83"/>
      <c r="C32" s="179" t="s">
        <v>32</v>
      </c>
      <c r="D32" t="s">
        <v>33</v>
      </c>
    </row>
    <row r="33" spans="1:5" ht="12.95">
      <c r="B33" s="83">
        <v>7</v>
      </c>
      <c r="C33" s="178" t="s">
        <v>34</v>
      </c>
    </row>
    <row r="34" spans="1:5" ht="12.95">
      <c r="B34" s="83"/>
      <c r="C34" s="178" t="s">
        <v>35</v>
      </c>
    </row>
    <row r="35" spans="1:5" ht="12.95">
      <c r="B35" s="83"/>
      <c r="C35" s="178" t="s">
        <v>36</v>
      </c>
    </row>
    <row r="36" spans="1:5" ht="12.95">
      <c r="B36" s="83"/>
      <c r="C36" s="178"/>
    </row>
    <row r="37" spans="1:5" ht="14.1">
      <c r="A37" s="71" t="s">
        <v>37</v>
      </c>
      <c r="B37" s="83"/>
      <c r="C37" s="78"/>
    </row>
    <row r="38" spans="1:5" ht="14.1">
      <c r="A38" s="71"/>
      <c r="B38" s="180" t="s">
        <v>20</v>
      </c>
      <c r="C38" s="78" t="s">
        <v>38</v>
      </c>
    </row>
    <row r="39" spans="1:5" ht="12.95">
      <c r="B39" s="83">
        <v>1</v>
      </c>
      <c r="C39" s="178" t="s">
        <v>39</v>
      </c>
    </row>
    <row r="40" spans="1:5" ht="12.95">
      <c r="B40" s="83">
        <v>2</v>
      </c>
      <c r="C40" s="178" t="s">
        <v>40</v>
      </c>
    </row>
    <row r="41" spans="1:5" ht="12.95">
      <c r="B41" s="83">
        <v>3</v>
      </c>
      <c r="C41" s="178" t="s">
        <v>41</v>
      </c>
    </row>
    <row r="42" spans="1:5" ht="12.95">
      <c r="B42" s="83"/>
      <c r="C42" s="178" t="s">
        <v>42</v>
      </c>
    </row>
    <row r="43" spans="1:5" ht="12.95">
      <c r="B43" s="83"/>
      <c r="C43" s="178" t="s">
        <v>43</v>
      </c>
    </row>
    <row r="44" spans="1:5" ht="12.95">
      <c r="B44" s="83">
        <v>4</v>
      </c>
      <c r="C44" s="178" t="s">
        <v>44</v>
      </c>
    </row>
    <row r="45" spans="1:5" ht="12.95">
      <c r="B45" s="83"/>
    </row>
    <row r="46" spans="1:5" ht="14.1">
      <c r="A46" s="71" t="s">
        <v>45</v>
      </c>
    </row>
    <row r="48" spans="1:5">
      <c r="C48" s="11" t="s">
        <v>46</v>
      </c>
      <c r="E48" s="35"/>
    </row>
    <row r="49" spans="3:5">
      <c r="C49" s="11" t="s">
        <v>47</v>
      </c>
      <c r="E49" s="96"/>
    </row>
    <row r="50" spans="3:5" ht="12.95">
      <c r="C50" s="11" t="s">
        <v>48</v>
      </c>
      <c r="E50" s="17" t="s">
        <v>49</v>
      </c>
    </row>
  </sheetData>
  <pageMargins left="0.7" right="0.7" top="0.75" bottom="0.75" header="0.3" footer="0.3"/>
  <ignoredErrors>
    <ignoredError sqref="B1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9384A-4E37-4026-8F0C-54C658B974E7}">
  <sheetPr>
    <tabColor theme="0" tint="-0.34998626667073579"/>
  </sheetPr>
  <dimension ref="A2:G47"/>
  <sheetViews>
    <sheetView workbookViewId="0"/>
  </sheetViews>
  <sheetFormatPr defaultColWidth="11.42578125" defaultRowHeight="12.95"/>
  <cols>
    <col min="1" max="1" width="3.140625" style="2" customWidth="1"/>
    <col min="2" max="2" width="18.140625" customWidth="1"/>
    <col min="3" max="3" width="33" style="78" bestFit="1" customWidth="1"/>
    <col min="4" max="4" width="18.42578125" customWidth="1"/>
    <col min="5" max="5" width="11.42578125" style="78"/>
    <col min="7" max="7" width="11.42578125" style="9"/>
  </cols>
  <sheetData>
    <row r="2" spans="1:7" ht="14.1">
      <c r="A2" s="74" t="s">
        <v>50</v>
      </c>
      <c r="B2" s="71" t="s">
        <v>51</v>
      </c>
      <c r="C2" s="77" t="s">
        <v>52</v>
      </c>
      <c r="D2" s="71" t="s">
        <v>53</v>
      </c>
      <c r="E2" s="77" t="s">
        <v>52</v>
      </c>
      <c r="F2" s="71" t="s">
        <v>54</v>
      </c>
      <c r="G2" s="77" t="s">
        <v>55</v>
      </c>
    </row>
    <row r="3" spans="1:7">
      <c r="A3" s="2">
        <v>1</v>
      </c>
      <c r="B3" s="11" t="s">
        <v>56</v>
      </c>
      <c r="D3" t="s">
        <v>57</v>
      </c>
      <c r="E3" s="78" t="s">
        <v>58</v>
      </c>
    </row>
    <row r="4" spans="1:7">
      <c r="A4" s="88">
        <v>2</v>
      </c>
      <c r="B4" s="89" t="s">
        <v>59</v>
      </c>
      <c r="C4" s="90"/>
      <c r="D4" s="89" t="s">
        <v>60</v>
      </c>
      <c r="E4" s="90" t="s">
        <v>61</v>
      </c>
      <c r="F4" s="89" t="s">
        <v>62</v>
      </c>
    </row>
    <row r="5" spans="1:7" ht="26.1">
      <c r="A5" s="2">
        <v>3</v>
      </c>
      <c r="B5" s="72" t="s">
        <v>63</v>
      </c>
      <c r="C5" s="80" t="s">
        <v>64</v>
      </c>
      <c r="D5" t="s">
        <v>65</v>
      </c>
      <c r="E5" s="78" t="s">
        <v>66</v>
      </c>
      <c r="F5" s="11" t="s">
        <v>67</v>
      </c>
      <c r="G5" s="19" t="s">
        <v>68</v>
      </c>
    </row>
    <row r="6" spans="1:7">
      <c r="A6" s="92"/>
      <c r="B6" s="191" t="s">
        <v>69</v>
      </c>
      <c r="C6" s="93"/>
      <c r="D6" s="94" t="s">
        <v>70</v>
      </c>
      <c r="E6" s="95" t="s">
        <v>71</v>
      </c>
      <c r="F6" s="191" t="s">
        <v>62</v>
      </c>
    </row>
    <row r="7" spans="1:7">
      <c r="A7" s="92">
        <v>4</v>
      </c>
      <c r="B7" s="195"/>
      <c r="C7" s="93"/>
      <c r="D7" s="94" t="s">
        <v>60</v>
      </c>
      <c r="E7" s="95" t="s">
        <v>72</v>
      </c>
      <c r="F7" s="191"/>
    </row>
    <row r="8" spans="1:7" ht="25.5">
      <c r="A8" s="2">
        <v>5</v>
      </c>
      <c r="B8" s="28" t="s">
        <v>73</v>
      </c>
      <c r="C8" s="80"/>
      <c r="D8" s="11" t="s">
        <v>74</v>
      </c>
      <c r="E8" s="78" t="s">
        <v>75</v>
      </c>
      <c r="F8" s="73" t="s">
        <v>62</v>
      </c>
      <c r="G8" s="19"/>
    </row>
    <row r="9" spans="1:7">
      <c r="A9" s="1">
        <v>6</v>
      </c>
      <c r="B9" s="192" t="s">
        <v>76</v>
      </c>
      <c r="C9" s="79"/>
      <c r="D9" s="11" t="s">
        <v>60</v>
      </c>
      <c r="E9" s="78" t="s">
        <v>72</v>
      </c>
      <c r="F9" s="192" t="s">
        <v>62</v>
      </c>
    </row>
    <row r="10" spans="1:7">
      <c r="A10" s="1"/>
      <c r="B10" s="193"/>
      <c r="C10" s="79"/>
      <c r="D10" s="11" t="s">
        <v>77</v>
      </c>
      <c r="E10" s="78" t="s">
        <v>78</v>
      </c>
      <c r="F10" s="193"/>
    </row>
    <row r="11" spans="1:7">
      <c r="A11" s="1"/>
      <c r="B11" s="193"/>
      <c r="C11" s="79"/>
      <c r="D11" s="11" t="s">
        <v>57</v>
      </c>
      <c r="E11" s="78" t="s">
        <v>58</v>
      </c>
      <c r="F11" s="193"/>
    </row>
    <row r="12" spans="1:7">
      <c r="A12" s="2">
        <v>7</v>
      </c>
      <c r="B12" s="11" t="s">
        <v>79</v>
      </c>
      <c r="D12" s="11" t="s">
        <v>80</v>
      </c>
      <c r="E12" s="78" t="s">
        <v>75</v>
      </c>
      <c r="F12" s="11" t="s">
        <v>62</v>
      </c>
      <c r="G12" s="19"/>
    </row>
    <row r="13" spans="1:7">
      <c r="B13" s="192" t="s">
        <v>81</v>
      </c>
      <c r="C13" s="194" t="s">
        <v>82</v>
      </c>
      <c r="D13" s="11" t="s">
        <v>57</v>
      </c>
      <c r="E13" s="78" t="s">
        <v>58</v>
      </c>
      <c r="F13" t="s">
        <v>83</v>
      </c>
    </row>
    <row r="14" spans="1:7">
      <c r="A14" s="2">
        <v>8</v>
      </c>
      <c r="B14" s="192"/>
      <c r="C14" s="194"/>
      <c r="D14" s="11" t="s">
        <v>60</v>
      </c>
      <c r="E14" s="78" t="s">
        <v>72</v>
      </c>
    </row>
    <row r="15" spans="1:7">
      <c r="B15" s="192" t="s">
        <v>84</v>
      </c>
      <c r="C15" s="79" t="s">
        <v>85</v>
      </c>
      <c r="D15" t="s">
        <v>65</v>
      </c>
      <c r="E15" s="78" t="s">
        <v>66</v>
      </c>
    </row>
    <row r="16" spans="1:7">
      <c r="B16" s="192"/>
      <c r="C16" s="79" t="s">
        <v>86</v>
      </c>
      <c r="D16" s="11" t="s">
        <v>60</v>
      </c>
      <c r="E16" s="78" t="s">
        <v>72</v>
      </c>
    </row>
    <row r="17" spans="1:7">
      <c r="B17" s="192"/>
      <c r="C17" s="79" t="s">
        <v>87</v>
      </c>
      <c r="D17" s="11" t="s">
        <v>88</v>
      </c>
      <c r="E17" s="78" t="s">
        <v>89</v>
      </c>
      <c r="F17" t="s">
        <v>83</v>
      </c>
    </row>
    <row r="18" spans="1:7">
      <c r="A18" s="2">
        <v>9</v>
      </c>
      <c r="B18" s="192"/>
      <c r="C18" s="79" t="s">
        <v>90</v>
      </c>
      <c r="D18" t="s">
        <v>91</v>
      </c>
      <c r="E18" s="78" t="s">
        <v>92</v>
      </c>
    </row>
    <row r="19" spans="1:7">
      <c r="A19" s="2">
        <v>10</v>
      </c>
      <c r="B19" s="11" t="s">
        <v>93</v>
      </c>
      <c r="C19" s="78" t="s">
        <v>94</v>
      </c>
      <c r="D19" s="11" t="s">
        <v>95</v>
      </c>
      <c r="E19" s="78" t="s">
        <v>96</v>
      </c>
      <c r="F19" s="11"/>
      <c r="G19" s="19" t="s">
        <v>97</v>
      </c>
    </row>
    <row r="20" spans="1:7">
      <c r="B20" s="192" t="s">
        <v>98</v>
      </c>
      <c r="C20" s="79"/>
      <c r="D20" s="11" t="s">
        <v>80</v>
      </c>
      <c r="E20" s="78" t="s">
        <v>75</v>
      </c>
    </row>
    <row r="21" spans="1:7">
      <c r="A21" s="2">
        <v>11</v>
      </c>
      <c r="B21" s="192"/>
      <c r="C21" s="79"/>
      <c r="D21" s="11" t="s">
        <v>99</v>
      </c>
      <c r="E21" s="78" t="s">
        <v>100</v>
      </c>
    </row>
    <row r="22" spans="1:7">
      <c r="A22" s="2">
        <v>12</v>
      </c>
      <c r="B22" s="11" t="s">
        <v>101</v>
      </c>
      <c r="C22" s="78" t="s">
        <v>102</v>
      </c>
      <c r="D22" s="11" t="s">
        <v>57</v>
      </c>
      <c r="E22" s="78" t="s">
        <v>58</v>
      </c>
    </row>
    <row r="23" spans="1:7">
      <c r="A23" s="2">
        <v>13</v>
      </c>
      <c r="B23" s="192" t="s">
        <v>103</v>
      </c>
      <c r="C23" s="79"/>
      <c r="D23" t="s">
        <v>65</v>
      </c>
      <c r="E23" s="78" t="s">
        <v>66</v>
      </c>
    </row>
    <row r="24" spans="1:7">
      <c r="A24" s="2">
        <v>14</v>
      </c>
      <c r="B24" s="192"/>
      <c r="C24" s="79"/>
      <c r="D24" s="11" t="s">
        <v>104</v>
      </c>
      <c r="E24" s="78" t="s">
        <v>105</v>
      </c>
      <c r="F24" t="s">
        <v>83</v>
      </c>
    </row>
    <row r="25" spans="1:7">
      <c r="A25" s="2">
        <v>15</v>
      </c>
      <c r="B25" s="11" t="s">
        <v>106</v>
      </c>
      <c r="D25" s="11" t="s">
        <v>88</v>
      </c>
      <c r="E25" s="78" t="s">
        <v>89</v>
      </c>
      <c r="F25" s="11" t="s">
        <v>67</v>
      </c>
      <c r="G25" s="19" t="s">
        <v>97</v>
      </c>
    </row>
    <row r="26" spans="1:7" ht="25.5">
      <c r="A26" s="2">
        <v>16</v>
      </c>
      <c r="B26" s="28" t="s">
        <v>107</v>
      </c>
      <c r="C26" s="80" t="s">
        <v>108</v>
      </c>
      <c r="D26" s="11" t="s">
        <v>88</v>
      </c>
      <c r="E26" s="78" t="s">
        <v>89</v>
      </c>
    </row>
    <row r="27" spans="1:7">
      <c r="A27" s="2">
        <v>17</v>
      </c>
      <c r="B27" s="11" t="s">
        <v>109</v>
      </c>
      <c r="D27" s="11" t="s">
        <v>110</v>
      </c>
      <c r="E27" s="78" t="s">
        <v>111</v>
      </c>
      <c r="F27" t="s">
        <v>67</v>
      </c>
    </row>
    <row r="28" spans="1:7">
      <c r="C28" s="11"/>
      <c r="D28" s="11"/>
      <c r="E28" s="11"/>
    </row>
    <row r="29" spans="1:7">
      <c r="B29" s="11" t="s">
        <v>112</v>
      </c>
      <c r="C29" s="11" t="s">
        <v>113</v>
      </c>
      <c r="D29" s="11" t="s">
        <v>114</v>
      </c>
      <c r="E29" s="11" t="s">
        <v>115</v>
      </c>
      <c r="F29" s="11" t="s">
        <v>62</v>
      </c>
    </row>
    <row r="30" spans="1:7">
      <c r="B30" s="11" t="s">
        <v>116</v>
      </c>
      <c r="C30" s="11" t="s">
        <v>116</v>
      </c>
      <c r="D30" s="78" t="s">
        <v>117</v>
      </c>
      <c r="E30" s="78" t="s">
        <v>118</v>
      </c>
    </row>
    <row r="31" spans="1:7">
      <c r="C31" s="11" t="s">
        <v>119</v>
      </c>
      <c r="D31" s="78" t="s">
        <v>117</v>
      </c>
      <c r="E31" s="78" t="s">
        <v>118</v>
      </c>
    </row>
    <row r="32" spans="1:7">
      <c r="C32" s="11" t="s">
        <v>120</v>
      </c>
      <c r="D32" s="78" t="s">
        <v>117</v>
      </c>
      <c r="E32" s="78" t="s">
        <v>118</v>
      </c>
    </row>
    <row r="33" spans="2:6">
      <c r="C33" s="11" t="s">
        <v>121</v>
      </c>
      <c r="D33" s="78" t="s">
        <v>117</v>
      </c>
      <c r="E33" s="78" t="s">
        <v>118</v>
      </c>
    </row>
    <row r="34" spans="2:6">
      <c r="C34" s="11" t="s">
        <v>119</v>
      </c>
      <c r="D34" t="s">
        <v>122</v>
      </c>
      <c r="E34" s="78" t="s">
        <v>118</v>
      </c>
    </row>
    <row r="35" spans="2:6">
      <c r="C35" s="11" t="s">
        <v>123</v>
      </c>
      <c r="D35" t="s">
        <v>122</v>
      </c>
      <c r="E35" s="78" t="s">
        <v>118</v>
      </c>
    </row>
    <row r="36" spans="2:6">
      <c r="C36" s="11" t="s">
        <v>124</v>
      </c>
      <c r="D36" t="s">
        <v>122</v>
      </c>
      <c r="E36" s="78" t="s">
        <v>118</v>
      </c>
    </row>
    <row r="37" spans="2:6">
      <c r="C37" s="11" t="s">
        <v>119</v>
      </c>
      <c r="D37" s="78" t="s">
        <v>125</v>
      </c>
      <c r="E37" s="78" t="s">
        <v>118</v>
      </c>
    </row>
    <row r="38" spans="2:6">
      <c r="C38" s="11" t="s">
        <v>126</v>
      </c>
      <c r="D38" s="78" t="s">
        <v>125</v>
      </c>
      <c r="E38" s="78" t="s">
        <v>118</v>
      </c>
    </row>
    <row r="39" spans="2:6">
      <c r="C39" s="11" t="s">
        <v>127</v>
      </c>
      <c r="D39" s="78" t="s">
        <v>125</v>
      </c>
      <c r="E39" s="78" t="s">
        <v>118</v>
      </c>
    </row>
    <row r="40" spans="2:6">
      <c r="C40" s="11" t="s">
        <v>128</v>
      </c>
      <c r="D40" s="11" t="s">
        <v>129</v>
      </c>
      <c r="E40" s="78" t="s">
        <v>130</v>
      </c>
    </row>
    <row r="41" spans="2:6">
      <c r="B41" s="11" t="s">
        <v>131</v>
      </c>
      <c r="C41" s="11" t="s">
        <v>132</v>
      </c>
      <c r="D41" s="78" t="s">
        <v>133</v>
      </c>
      <c r="E41" s="78" t="s">
        <v>118</v>
      </c>
    </row>
    <row r="42" spans="2:6">
      <c r="C42" s="11" t="s">
        <v>134</v>
      </c>
      <c r="D42" s="78" t="s">
        <v>135</v>
      </c>
      <c r="E42" s="78" t="s">
        <v>118</v>
      </c>
    </row>
    <row r="43" spans="2:6">
      <c r="C43" s="11" t="s">
        <v>136</v>
      </c>
      <c r="D43" s="78" t="s">
        <v>135</v>
      </c>
      <c r="E43" s="78" t="s">
        <v>118</v>
      </c>
    </row>
    <row r="44" spans="2:6">
      <c r="D44" s="78"/>
      <c r="E44" s="78" t="s">
        <v>137</v>
      </c>
      <c r="F44" s="11" t="s">
        <v>138</v>
      </c>
    </row>
    <row r="45" spans="2:6">
      <c r="B45" s="35" t="s">
        <v>139</v>
      </c>
      <c r="C45" s="113" t="s">
        <v>139</v>
      </c>
      <c r="D45" s="35"/>
      <c r="E45" s="113" t="s">
        <v>140</v>
      </c>
      <c r="F45" s="112" t="s">
        <v>83</v>
      </c>
    </row>
    <row r="46" spans="2:6">
      <c r="B46" s="35" t="s">
        <v>141</v>
      </c>
      <c r="C46" s="113" t="s">
        <v>142</v>
      </c>
      <c r="D46" s="35"/>
      <c r="E46" s="113" t="s">
        <v>143</v>
      </c>
      <c r="F46" s="35" t="s">
        <v>83</v>
      </c>
    </row>
    <row r="47" spans="2:6">
      <c r="B47" s="112" t="s">
        <v>144</v>
      </c>
      <c r="C47" s="112" t="s">
        <v>145</v>
      </c>
      <c r="D47" s="35"/>
      <c r="E47" s="113" t="s">
        <v>146</v>
      </c>
      <c r="F47" s="112" t="s">
        <v>83</v>
      </c>
    </row>
  </sheetData>
  <mergeCells count="10">
    <mergeCell ref="A9:A11"/>
    <mergeCell ref="F6:F7"/>
    <mergeCell ref="F9:F11"/>
    <mergeCell ref="C13:C14"/>
    <mergeCell ref="B23:B24"/>
    <mergeCell ref="B6:B7"/>
    <mergeCell ref="B9:B11"/>
    <mergeCell ref="B13:B14"/>
    <mergeCell ref="B15:B18"/>
    <mergeCell ref="B20:B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9F639-6144-460B-858A-4AE726B2D9EE}">
  <sheetPr>
    <tabColor rgb="FF00B0F0"/>
  </sheetPr>
  <dimension ref="A1:H71"/>
  <sheetViews>
    <sheetView workbookViewId="0">
      <selection activeCell="G54" sqref="G54"/>
    </sheetView>
  </sheetViews>
  <sheetFormatPr defaultColWidth="11.42578125" defaultRowHeight="12.6"/>
  <cols>
    <col min="1" max="1" width="28.140625" customWidth="1"/>
    <col min="2" max="2" width="28.42578125" bestFit="1" customWidth="1"/>
    <col min="6" max="6" width="13.42578125" customWidth="1"/>
    <col min="7" max="7" width="19.140625" customWidth="1"/>
    <col min="8" max="8" width="75" bestFit="1" customWidth="1"/>
  </cols>
  <sheetData>
    <row r="1" spans="1:8" ht="15.6">
      <c r="A1" s="70" t="s">
        <v>147</v>
      </c>
    </row>
    <row r="2" spans="1:8" ht="12.95">
      <c r="A2" s="16"/>
    </row>
    <row r="3" spans="1:8">
      <c r="A3" s="11" t="s">
        <v>46</v>
      </c>
      <c r="B3" s="35"/>
    </row>
    <row r="4" spans="1:8" ht="12.95">
      <c r="A4" s="11"/>
      <c r="B4" s="17"/>
    </row>
    <row r="6" spans="1:8" ht="20.100000000000001">
      <c r="A6" s="196" t="s">
        <v>148</v>
      </c>
      <c r="B6" s="196"/>
      <c r="C6" s="196"/>
      <c r="D6" s="196"/>
      <c r="E6" s="196"/>
      <c r="F6" s="196"/>
      <c r="G6" s="196"/>
      <c r="H6" s="196"/>
    </row>
    <row r="7" spans="1:8" s="67" customFormat="1" ht="25.5" customHeight="1">
      <c r="A7" s="68" t="s">
        <v>149</v>
      </c>
      <c r="B7" s="68" t="s">
        <v>150</v>
      </c>
      <c r="C7" s="68" t="s">
        <v>54</v>
      </c>
      <c r="D7" s="68" t="s">
        <v>151</v>
      </c>
      <c r="E7" s="68" t="s">
        <v>152</v>
      </c>
      <c r="F7" s="68" t="s">
        <v>153</v>
      </c>
      <c r="G7" s="68" t="s">
        <v>154</v>
      </c>
      <c r="H7" s="68" t="s">
        <v>155</v>
      </c>
    </row>
    <row r="8" spans="1:8">
      <c r="A8" s="9" t="s">
        <v>156</v>
      </c>
      <c r="C8" s="11" t="s">
        <v>67</v>
      </c>
      <c r="E8" t="s">
        <v>157</v>
      </c>
      <c r="G8" t="s">
        <v>158</v>
      </c>
    </row>
    <row r="9" spans="1:8">
      <c r="A9" s="9" t="s">
        <v>159</v>
      </c>
      <c r="C9" s="11" t="s">
        <v>67</v>
      </c>
      <c r="E9" t="s">
        <v>157</v>
      </c>
      <c r="G9" t="s">
        <v>158</v>
      </c>
    </row>
    <row r="10" spans="1:8">
      <c r="A10" s="9" t="s">
        <v>160</v>
      </c>
      <c r="C10" s="11" t="s">
        <v>67</v>
      </c>
      <c r="E10" t="s">
        <v>157</v>
      </c>
      <c r="G10" s="11" t="s">
        <v>158</v>
      </c>
    </row>
    <row r="11" spans="1:8">
      <c r="A11" s="9" t="s">
        <v>161</v>
      </c>
      <c r="C11" s="11" t="s">
        <v>67</v>
      </c>
      <c r="E11" t="s">
        <v>157</v>
      </c>
      <c r="G11" s="11" t="s">
        <v>158</v>
      </c>
    </row>
    <row r="12" spans="1:8">
      <c r="A12" s="34">
        <v>14584365</v>
      </c>
      <c r="C12" s="11" t="s">
        <v>83</v>
      </c>
      <c r="E12" t="s">
        <v>157</v>
      </c>
      <c r="F12" t="s">
        <v>162</v>
      </c>
      <c r="G12" t="s">
        <v>157</v>
      </c>
      <c r="H12" s="201" t="s">
        <v>163</v>
      </c>
    </row>
    <row r="13" spans="1:8">
      <c r="A13" s="9">
        <v>9880937</v>
      </c>
      <c r="C13" s="11" t="s">
        <v>83</v>
      </c>
      <c r="E13" t="s">
        <v>157</v>
      </c>
      <c r="G13" s="11" t="s">
        <v>158</v>
      </c>
    </row>
    <row r="14" spans="1:8">
      <c r="A14" s="9">
        <v>9762293</v>
      </c>
      <c r="B14" s="76"/>
      <c r="C14" s="11" t="s">
        <v>83</v>
      </c>
      <c r="E14" s="11" t="s">
        <v>157</v>
      </c>
      <c r="G14" s="11" t="s">
        <v>158</v>
      </c>
    </row>
    <row r="15" spans="1:8">
      <c r="A15" t="s">
        <v>164</v>
      </c>
      <c r="C15" s="11" t="s">
        <v>62</v>
      </c>
      <c r="E15" s="11" t="s">
        <v>157</v>
      </c>
      <c r="F15" s="11"/>
      <c r="G15" s="11" t="s">
        <v>158</v>
      </c>
      <c r="H15" s="201" t="s">
        <v>165</v>
      </c>
    </row>
    <row r="16" spans="1:8">
      <c r="A16" t="s">
        <v>166</v>
      </c>
      <c r="C16" s="11" t="s">
        <v>62</v>
      </c>
      <c r="E16" s="11" t="s">
        <v>157</v>
      </c>
      <c r="F16" s="11"/>
      <c r="G16" s="11" t="s">
        <v>167</v>
      </c>
      <c r="H16" s="201" t="s">
        <v>168</v>
      </c>
    </row>
    <row r="17" spans="1:8">
      <c r="A17" t="s">
        <v>169</v>
      </c>
      <c r="C17" s="11" t="s">
        <v>62</v>
      </c>
      <c r="E17" s="11" t="s">
        <v>157</v>
      </c>
      <c r="F17" s="11"/>
      <c r="G17" s="11" t="s">
        <v>167</v>
      </c>
      <c r="H17" s="201" t="s">
        <v>170</v>
      </c>
    </row>
    <row r="18" spans="1:8">
      <c r="A18" t="s">
        <v>171</v>
      </c>
      <c r="C18" s="11" t="s">
        <v>62</v>
      </c>
      <c r="E18" s="11" t="s">
        <v>157</v>
      </c>
      <c r="F18" s="11"/>
      <c r="G18" s="11" t="s">
        <v>167</v>
      </c>
      <c r="H18" s="201" t="s">
        <v>172</v>
      </c>
    </row>
    <row r="19" spans="1:8" ht="20.100000000000001">
      <c r="A19" s="196" t="s">
        <v>173</v>
      </c>
      <c r="B19" s="197"/>
      <c r="C19" s="197"/>
      <c r="D19" s="197"/>
      <c r="E19" s="197"/>
      <c r="F19" s="197"/>
      <c r="G19" s="197"/>
      <c r="H19" s="198"/>
    </row>
    <row r="20" spans="1:8" s="69" customFormat="1" ht="23.65" customHeight="1">
      <c r="A20" s="66" t="s">
        <v>149</v>
      </c>
      <c r="B20" s="68" t="s">
        <v>174</v>
      </c>
      <c r="C20" s="68" t="s">
        <v>175</v>
      </c>
      <c r="D20" s="68" t="s">
        <v>151</v>
      </c>
      <c r="E20" s="68" t="s">
        <v>152</v>
      </c>
      <c r="F20" s="68" t="s">
        <v>153</v>
      </c>
      <c r="G20" s="68" t="s">
        <v>154</v>
      </c>
      <c r="H20" s="68" t="s">
        <v>155</v>
      </c>
    </row>
    <row r="21" spans="1:8">
      <c r="A21" s="19" t="s">
        <v>176</v>
      </c>
      <c r="B21" s="11" t="s">
        <v>177</v>
      </c>
      <c r="C21" s="11" t="s">
        <v>62</v>
      </c>
      <c r="D21" s="11" t="s">
        <v>178</v>
      </c>
      <c r="E21" s="11" t="s">
        <v>157</v>
      </c>
      <c r="F21" s="11" t="s">
        <v>179</v>
      </c>
      <c r="G21" s="11" t="s">
        <v>157</v>
      </c>
      <c r="H21" s="202" t="s">
        <v>180</v>
      </c>
    </row>
    <row r="22" spans="1:8">
      <c r="A22" s="19" t="s">
        <v>181</v>
      </c>
      <c r="B22" s="11" t="s">
        <v>177</v>
      </c>
      <c r="C22" s="11" t="s">
        <v>62</v>
      </c>
      <c r="D22" s="11" t="s">
        <v>182</v>
      </c>
      <c r="E22" s="11" t="s">
        <v>157</v>
      </c>
      <c r="F22" s="11"/>
      <c r="G22" s="11" t="s">
        <v>167</v>
      </c>
      <c r="H22" s="110" t="s">
        <v>183</v>
      </c>
    </row>
    <row r="23" spans="1:8">
      <c r="A23" s="19" t="s">
        <v>184</v>
      </c>
      <c r="B23" s="11" t="s">
        <v>185</v>
      </c>
      <c r="C23" s="11" t="s">
        <v>62</v>
      </c>
      <c r="D23" s="11" t="s">
        <v>178</v>
      </c>
      <c r="E23" s="11" t="s">
        <v>157</v>
      </c>
      <c r="F23" s="11"/>
      <c r="G23" s="11" t="s">
        <v>167</v>
      </c>
      <c r="H23" s="110" t="s">
        <v>186</v>
      </c>
    </row>
    <row r="24" spans="1:8">
      <c r="A24" s="19" t="s">
        <v>187</v>
      </c>
      <c r="B24" s="11" t="s">
        <v>185</v>
      </c>
      <c r="C24" s="11" t="s">
        <v>62</v>
      </c>
      <c r="D24" s="11" t="s">
        <v>188</v>
      </c>
      <c r="E24" s="11" t="s">
        <v>157</v>
      </c>
      <c r="F24" s="11"/>
      <c r="G24" s="11" t="s">
        <v>167</v>
      </c>
      <c r="H24" s="110" t="s">
        <v>189</v>
      </c>
    </row>
    <row r="25" spans="1:8">
      <c r="A25" s="19" t="s">
        <v>190</v>
      </c>
      <c r="B25" t="s">
        <v>185</v>
      </c>
      <c r="C25" s="11" t="s">
        <v>62</v>
      </c>
      <c r="D25" s="11" t="s">
        <v>191</v>
      </c>
      <c r="E25" s="11" t="s">
        <v>192</v>
      </c>
      <c r="G25" s="11" t="s">
        <v>167</v>
      </c>
      <c r="H25" s="110" t="s">
        <v>193</v>
      </c>
    </row>
    <row r="26" spans="1:8">
      <c r="A26" s="19" t="s">
        <v>194</v>
      </c>
      <c r="B26" t="s">
        <v>185</v>
      </c>
      <c r="C26" s="11" t="s">
        <v>62</v>
      </c>
      <c r="D26" s="11" t="s">
        <v>195</v>
      </c>
      <c r="E26" s="11" t="s">
        <v>157</v>
      </c>
      <c r="G26" s="11" t="s">
        <v>157</v>
      </c>
      <c r="H26" s="110" t="s">
        <v>196</v>
      </c>
    </row>
    <row r="27" spans="1:8">
      <c r="A27" s="19" t="s">
        <v>197</v>
      </c>
      <c r="B27" t="s">
        <v>185</v>
      </c>
      <c r="C27" s="11" t="s">
        <v>62</v>
      </c>
      <c r="D27" s="11" t="s">
        <v>198</v>
      </c>
      <c r="E27" s="11" t="s">
        <v>192</v>
      </c>
      <c r="G27" s="11" t="s">
        <v>167</v>
      </c>
      <c r="H27" s="110" t="s">
        <v>199</v>
      </c>
    </row>
    <row r="28" spans="1:8">
      <c r="A28" s="19" t="s">
        <v>200</v>
      </c>
      <c r="B28" t="s">
        <v>185</v>
      </c>
      <c r="C28" t="s">
        <v>62</v>
      </c>
      <c r="D28" t="s">
        <v>201</v>
      </c>
      <c r="E28" s="11" t="s">
        <v>157</v>
      </c>
      <c r="G28" s="11" t="s">
        <v>167</v>
      </c>
      <c r="H28" s="110" t="s">
        <v>202</v>
      </c>
    </row>
    <row r="29" spans="1:8">
      <c r="A29" s="19" t="s">
        <v>203</v>
      </c>
      <c r="B29" t="s">
        <v>204</v>
      </c>
      <c r="C29" t="s">
        <v>62</v>
      </c>
      <c r="D29" s="11" t="s">
        <v>178</v>
      </c>
      <c r="E29" s="11" t="s">
        <v>157</v>
      </c>
      <c r="G29" s="11" t="s">
        <v>157</v>
      </c>
      <c r="H29" s="110" t="s">
        <v>205</v>
      </c>
    </row>
    <row r="30" spans="1:8">
      <c r="A30" s="19" t="s">
        <v>206</v>
      </c>
      <c r="B30" t="s">
        <v>204</v>
      </c>
      <c r="C30" t="s">
        <v>62</v>
      </c>
      <c r="D30" s="11" t="s">
        <v>207</v>
      </c>
      <c r="E30" s="11" t="s">
        <v>157</v>
      </c>
      <c r="G30" s="11" t="s">
        <v>157</v>
      </c>
      <c r="H30" s="110" t="s">
        <v>208</v>
      </c>
    </row>
    <row r="31" spans="1:8">
      <c r="A31" s="19" t="s">
        <v>209</v>
      </c>
      <c r="B31" s="11" t="s">
        <v>210</v>
      </c>
      <c r="C31" s="11" t="s">
        <v>62</v>
      </c>
      <c r="D31" s="11" t="s">
        <v>178</v>
      </c>
      <c r="E31" s="11" t="s">
        <v>157</v>
      </c>
      <c r="G31" s="11" t="s">
        <v>157</v>
      </c>
      <c r="H31" s="110" t="s">
        <v>211</v>
      </c>
    </row>
    <row r="32" spans="1:8">
      <c r="A32" s="19" t="s">
        <v>212</v>
      </c>
      <c r="B32" s="11" t="s">
        <v>210</v>
      </c>
      <c r="C32" s="11" t="s">
        <v>62</v>
      </c>
      <c r="D32" s="11" t="s">
        <v>188</v>
      </c>
      <c r="E32" s="11" t="s">
        <v>157</v>
      </c>
      <c r="G32" s="11" t="s">
        <v>157</v>
      </c>
      <c r="H32" s="110" t="s">
        <v>213</v>
      </c>
    </row>
    <row r="33" spans="1:8">
      <c r="A33" s="11" t="s">
        <v>214</v>
      </c>
      <c r="B33" s="11" t="s">
        <v>215</v>
      </c>
      <c r="C33" s="11" t="s">
        <v>62</v>
      </c>
      <c r="D33" s="11" t="s">
        <v>178</v>
      </c>
      <c r="E33" s="11" t="s">
        <v>157</v>
      </c>
      <c r="G33" s="11" t="s">
        <v>157</v>
      </c>
      <c r="H33" s="110" t="s">
        <v>216</v>
      </c>
    </row>
    <row r="34" spans="1:8">
      <c r="A34" s="112" t="s">
        <v>217</v>
      </c>
      <c r="B34" s="11" t="s">
        <v>218</v>
      </c>
      <c r="C34" s="11" t="s">
        <v>62</v>
      </c>
      <c r="D34" s="11" t="s">
        <v>178</v>
      </c>
      <c r="E34" s="11" t="s">
        <v>157</v>
      </c>
      <c r="F34" s="11" t="s">
        <v>219</v>
      </c>
      <c r="G34" s="11" t="s">
        <v>157</v>
      </c>
      <c r="H34" s="110" t="s">
        <v>220</v>
      </c>
    </row>
    <row r="35" spans="1:8">
      <c r="A35" s="11" t="s">
        <v>221</v>
      </c>
      <c r="B35" s="11" t="s">
        <v>222</v>
      </c>
      <c r="C35" s="11" t="s">
        <v>62</v>
      </c>
      <c r="D35" s="11" t="s">
        <v>178</v>
      </c>
      <c r="E35" s="11" t="s">
        <v>157</v>
      </c>
      <c r="G35" s="11" t="s">
        <v>157</v>
      </c>
      <c r="H35" s="110" t="s">
        <v>223</v>
      </c>
    </row>
    <row r="36" spans="1:8">
      <c r="A36" s="33" t="s">
        <v>224</v>
      </c>
      <c r="B36" s="11" t="s">
        <v>225</v>
      </c>
      <c r="C36" s="11" t="s">
        <v>62</v>
      </c>
      <c r="D36" s="11" t="s">
        <v>226</v>
      </c>
      <c r="E36" s="11" t="s">
        <v>157</v>
      </c>
      <c r="F36" s="11" t="s">
        <v>179</v>
      </c>
      <c r="G36" s="11" t="s">
        <v>157</v>
      </c>
      <c r="H36" s="110" t="s">
        <v>227</v>
      </c>
    </row>
    <row r="37" spans="1:8">
      <c r="A37" s="19"/>
    </row>
    <row r="38" spans="1:8">
      <c r="A38" s="19" t="s">
        <v>228</v>
      </c>
      <c r="B38" t="s">
        <v>229</v>
      </c>
      <c r="C38" s="11" t="s">
        <v>83</v>
      </c>
      <c r="D38" s="11" t="s">
        <v>230</v>
      </c>
      <c r="E38" s="11" t="s">
        <v>157</v>
      </c>
      <c r="G38" s="96" t="s">
        <v>157</v>
      </c>
    </row>
    <row r="39" spans="1:8">
      <c r="A39" s="19" t="s">
        <v>231</v>
      </c>
      <c r="B39" t="s">
        <v>229</v>
      </c>
      <c r="C39" s="11" t="s">
        <v>83</v>
      </c>
      <c r="D39" s="11" t="s">
        <v>232</v>
      </c>
      <c r="E39" s="11" t="s">
        <v>157</v>
      </c>
      <c r="G39" s="96" t="s">
        <v>157</v>
      </c>
    </row>
    <row r="40" spans="1:8">
      <c r="A40" s="19" t="s">
        <v>233</v>
      </c>
      <c r="B40" s="11" t="s">
        <v>234</v>
      </c>
      <c r="C40" s="11" t="s">
        <v>83</v>
      </c>
      <c r="D40" s="11" t="s">
        <v>230</v>
      </c>
      <c r="E40" s="11" t="s">
        <v>157</v>
      </c>
      <c r="G40" s="96" t="s">
        <v>157</v>
      </c>
    </row>
    <row r="41" spans="1:8">
      <c r="A41" s="19" t="s">
        <v>235</v>
      </c>
      <c r="B41" s="11" t="s">
        <v>234</v>
      </c>
      <c r="C41" s="11" t="s">
        <v>83</v>
      </c>
      <c r="D41" s="11" t="s">
        <v>232</v>
      </c>
      <c r="E41" s="11" t="s">
        <v>157</v>
      </c>
      <c r="G41" s="96" t="s">
        <v>157</v>
      </c>
    </row>
    <row r="42" spans="1:8">
      <c r="A42" s="19" t="s">
        <v>236</v>
      </c>
      <c r="B42" t="s">
        <v>237</v>
      </c>
      <c r="C42" s="11" t="s">
        <v>83</v>
      </c>
      <c r="D42" s="11" t="s">
        <v>230</v>
      </c>
      <c r="E42" s="11" t="s">
        <v>157</v>
      </c>
      <c r="G42" s="94" t="s">
        <v>157</v>
      </c>
    </row>
    <row r="43" spans="1:8">
      <c r="A43" s="9" t="s">
        <v>238</v>
      </c>
      <c r="B43" t="s">
        <v>237</v>
      </c>
      <c r="C43" s="11" t="s">
        <v>83</v>
      </c>
      <c r="D43" s="11" t="s">
        <v>232</v>
      </c>
      <c r="E43" s="11" t="s">
        <v>157</v>
      </c>
      <c r="G43" s="94" t="s">
        <v>157</v>
      </c>
    </row>
    <row r="44" spans="1:8">
      <c r="A44" s="9" t="s">
        <v>239</v>
      </c>
      <c r="B44" s="11" t="s">
        <v>240</v>
      </c>
      <c r="C44" s="11" t="s">
        <v>83</v>
      </c>
      <c r="D44" s="11" t="s">
        <v>241</v>
      </c>
      <c r="E44" s="11" t="s">
        <v>157</v>
      </c>
      <c r="G44" s="11" t="s">
        <v>157</v>
      </c>
      <c r="H44" s="104" t="s">
        <v>242</v>
      </c>
    </row>
    <row r="45" spans="1:8">
      <c r="A45" s="9" t="s">
        <v>243</v>
      </c>
      <c r="B45" s="11" t="s">
        <v>240</v>
      </c>
      <c r="C45" s="11" t="s">
        <v>83</v>
      </c>
      <c r="D45" s="11" t="s">
        <v>244</v>
      </c>
      <c r="E45" s="11" t="s">
        <v>157</v>
      </c>
      <c r="G45" s="11" t="s">
        <v>157</v>
      </c>
      <c r="H45" s="104" t="s">
        <v>245</v>
      </c>
    </row>
    <row r="46" spans="1:8">
      <c r="A46" s="9" t="s">
        <v>246</v>
      </c>
      <c r="B46" s="11" t="s">
        <v>247</v>
      </c>
      <c r="C46" s="11" t="s">
        <v>83</v>
      </c>
      <c r="D46" t="s">
        <v>248</v>
      </c>
      <c r="E46" s="11" t="s">
        <v>157</v>
      </c>
      <c r="G46" s="94" t="s">
        <v>157</v>
      </c>
      <c r="H46" s="104" t="s">
        <v>249</v>
      </c>
    </row>
    <row r="47" spans="1:8">
      <c r="A47" s="34" t="s">
        <v>250</v>
      </c>
      <c r="B47" s="11" t="s">
        <v>247</v>
      </c>
      <c r="C47" s="11" t="s">
        <v>83</v>
      </c>
      <c r="D47" t="s">
        <v>251</v>
      </c>
      <c r="E47" s="11" t="s">
        <v>157</v>
      </c>
      <c r="F47" s="11" t="s">
        <v>162</v>
      </c>
      <c r="G47" s="11" t="s">
        <v>158</v>
      </c>
      <c r="H47" s="104" t="s">
        <v>252</v>
      </c>
    </row>
    <row r="48" spans="1:8">
      <c r="A48" s="34" t="s">
        <v>253</v>
      </c>
      <c r="B48" s="11" t="s">
        <v>254</v>
      </c>
      <c r="C48" t="s">
        <v>83</v>
      </c>
      <c r="D48" s="11" t="s">
        <v>178</v>
      </c>
      <c r="E48" s="11" t="s">
        <v>157</v>
      </c>
      <c r="F48" s="11" t="s">
        <v>179</v>
      </c>
      <c r="G48" s="11" t="s">
        <v>157</v>
      </c>
      <c r="H48" s="104" t="s">
        <v>255</v>
      </c>
    </row>
    <row r="49" spans="1:8">
      <c r="A49" s="9" t="s">
        <v>256</v>
      </c>
      <c r="B49" s="11" t="s">
        <v>254</v>
      </c>
      <c r="C49" s="11" t="s">
        <v>83</v>
      </c>
      <c r="D49" s="11" t="s">
        <v>257</v>
      </c>
      <c r="E49" s="11" t="s">
        <v>157</v>
      </c>
      <c r="G49" s="11" t="s">
        <v>157</v>
      </c>
      <c r="H49" s="104" t="s">
        <v>255</v>
      </c>
    </row>
    <row r="50" spans="1:8">
      <c r="A50" s="19"/>
      <c r="C50" s="11"/>
      <c r="D50" s="11"/>
    </row>
    <row r="51" spans="1:8">
      <c r="A51" t="s">
        <v>258</v>
      </c>
      <c r="B51" t="s">
        <v>259</v>
      </c>
      <c r="C51" t="s">
        <v>67</v>
      </c>
      <c r="D51" s="11" t="s">
        <v>241</v>
      </c>
      <c r="E51" t="s">
        <v>157</v>
      </c>
      <c r="F51" s="11" t="s">
        <v>219</v>
      </c>
      <c r="G51" s="11" t="s">
        <v>157</v>
      </c>
      <c r="H51" s="110" t="s">
        <v>260</v>
      </c>
    </row>
    <row r="52" spans="1:8">
      <c r="A52" t="s">
        <v>261</v>
      </c>
      <c r="B52" t="s">
        <v>259</v>
      </c>
      <c r="C52" t="s">
        <v>67</v>
      </c>
      <c r="D52" s="11" t="s">
        <v>262</v>
      </c>
      <c r="E52" t="s">
        <v>157</v>
      </c>
      <c r="G52" s="94" t="s">
        <v>158</v>
      </c>
      <c r="H52" s="110" t="s">
        <v>263</v>
      </c>
    </row>
    <row r="53" spans="1:8">
      <c r="A53" t="s">
        <v>264</v>
      </c>
      <c r="B53" t="s">
        <v>265</v>
      </c>
      <c r="C53" t="s">
        <v>67</v>
      </c>
      <c r="D53" s="11" t="s">
        <v>266</v>
      </c>
      <c r="E53" t="s">
        <v>157</v>
      </c>
      <c r="G53" s="11" t="s">
        <v>158</v>
      </c>
      <c r="H53" s="110" t="s">
        <v>267</v>
      </c>
    </row>
    <row r="54" spans="1:8">
      <c r="A54" t="s">
        <v>268</v>
      </c>
      <c r="B54" t="s">
        <v>265</v>
      </c>
      <c r="C54" s="11" t="s">
        <v>67</v>
      </c>
      <c r="D54" s="11" t="s">
        <v>226</v>
      </c>
      <c r="E54" t="s">
        <v>157</v>
      </c>
      <c r="G54" s="11" t="s">
        <v>158</v>
      </c>
      <c r="H54" s="110" t="s">
        <v>269</v>
      </c>
    </row>
    <row r="55" spans="1:8">
      <c r="A55" t="s">
        <v>270</v>
      </c>
      <c r="B55" s="11" t="s">
        <v>271</v>
      </c>
      <c r="C55" s="11" t="s">
        <v>67</v>
      </c>
      <c r="D55" s="11" t="s">
        <v>241</v>
      </c>
      <c r="E55" s="11" t="s">
        <v>157</v>
      </c>
      <c r="G55" t="s">
        <v>158</v>
      </c>
      <c r="H55" s="110" t="s">
        <v>272</v>
      </c>
    </row>
    <row r="56" spans="1:8">
      <c r="A56" t="s">
        <v>273</v>
      </c>
      <c r="B56" s="11" t="s">
        <v>271</v>
      </c>
      <c r="C56" s="11" t="s">
        <v>67</v>
      </c>
      <c r="D56" s="11" t="s">
        <v>226</v>
      </c>
      <c r="E56" s="11" t="s">
        <v>157</v>
      </c>
      <c r="G56" t="s">
        <v>157</v>
      </c>
      <c r="H56" s="110" t="s">
        <v>274</v>
      </c>
    </row>
    <row r="57" spans="1:8">
      <c r="A57" s="35" t="s">
        <v>275</v>
      </c>
      <c r="B57" s="11" t="s">
        <v>276</v>
      </c>
      <c r="C57" s="11" t="s">
        <v>67</v>
      </c>
      <c r="D57" s="11" t="s">
        <v>241</v>
      </c>
      <c r="E57" s="11" t="s">
        <v>157</v>
      </c>
      <c r="F57" s="11" t="s">
        <v>277</v>
      </c>
      <c r="G57" t="s">
        <v>157</v>
      </c>
      <c r="H57" s="110" t="s">
        <v>278</v>
      </c>
    </row>
    <row r="58" spans="1:8">
      <c r="A58" s="35" t="s">
        <v>279</v>
      </c>
      <c r="B58" s="11" t="s">
        <v>276</v>
      </c>
      <c r="C58" s="11" t="s">
        <v>67</v>
      </c>
      <c r="D58" s="11" t="s">
        <v>280</v>
      </c>
      <c r="E58" s="11" t="s">
        <v>157</v>
      </c>
      <c r="F58" s="11" t="s">
        <v>219</v>
      </c>
      <c r="G58" t="s">
        <v>157</v>
      </c>
      <c r="H58" s="110" t="s">
        <v>281</v>
      </c>
    </row>
    <row r="59" spans="1:8">
      <c r="A59" t="s">
        <v>282</v>
      </c>
      <c r="B59" s="11" t="s">
        <v>283</v>
      </c>
      <c r="C59" s="11" t="s">
        <v>67</v>
      </c>
      <c r="D59" s="11" t="s">
        <v>266</v>
      </c>
      <c r="E59" s="11" t="s">
        <v>157</v>
      </c>
      <c r="G59" s="11" t="s">
        <v>157</v>
      </c>
      <c r="H59" s="110" t="s">
        <v>284</v>
      </c>
    </row>
    <row r="60" spans="1:8">
      <c r="A60" t="s">
        <v>285</v>
      </c>
      <c r="B60" s="11" t="s">
        <v>283</v>
      </c>
      <c r="C60" s="11" t="s">
        <v>67</v>
      </c>
      <c r="D60" s="11" t="s">
        <v>286</v>
      </c>
      <c r="E60" s="11" t="s">
        <v>157</v>
      </c>
      <c r="G60" t="s">
        <v>157</v>
      </c>
      <c r="H60" s="110" t="s">
        <v>287</v>
      </c>
    </row>
    <row r="61" spans="1:8">
      <c r="A61" t="s">
        <v>288</v>
      </c>
      <c r="B61" s="11" t="s">
        <v>289</v>
      </c>
      <c r="C61" s="11" t="s">
        <v>67</v>
      </c>
      <c r="D61" s="11" t="s">
        <v>266</v>
      </c>
      <c r="E61" s="11" t="s">
        <v>157</v>
      </c>
      <c r="G61" t="s">
        <v>157</v>
      </c>
      <c r="H61" s="110" t="s">
        <v>290</v>
      </c>
    </row>
    <row r="62" spans="1:8">
      <c r="A62" t="s">
        <v>291</v>
      </c>
      <c r="B62" s="11" t="s">
        <v>289</v>
      </c>
      <c r="C62" s="11" t="s">
        <v>67</v>
      </c>
      <c r="D62" s="11" t="s">
        <v>292</v>
      </c>
      <c r="E62" s="11" t="s">
        <v>157</v>
      </c>
      <c r="G62" t="s">
        <v>158</v>
      </c>
      <c r="H62" s="110" t="s">
        <v>293</v>
      </c>
    </row>
    <row r="64" spans="1:8">
      <c r="A64" s="11"/>
      <c r="B64" s="11"/>
      <c r="D64" s="11"/>
      <c r="E64" s="11">
        <f>COUNTIFS(E8:E18,"Yes")+COUNTIFS(E21:E62,"Yes")</f>
        <v>49</v>
      </c>
      <c r="G64">
        <f>COUNTIFS(G8:G18,"Yes")+COUNTIFS(G21:G62,"Yes")</f>
        <v>29</v>
      </c>
    </row>
    <row r="65" spans="2:6">
      <c r="B65" s="11"/>
      <c r="D65" s="11"/>
      <c r="E65" s="11"/>
    </row>
    <row r="66" spans="2:6">
      <c r="B66" s="11"/>
    </row>
    <row r="67" spans="2:6">
      <c r="B67" s="11"/>
    </row>
    <row r="70" spans="2:6">
      <c r="B70" s="11"/>
      <c r="C70" s="11"/>
      <c r="E70" s="11"/>
      <c r="F70" s="11"/>
    </row>
    <row r="71" spans="2:6">
      <c r="C71" s="11"/>
      <c r="E71" s="11"/>
      <c r="F71" s="11"/>
    </row>
  </sheetData>
  <mergeCells count="2">
    <mergeCell ref="A6:H6"/>
    <mergeCell ref="A19:H19"/>
  </mergeCells>
  <hyperlinks>
    <hyperlink ref="H21" r:id="rId1" xr:uid="{31451D51-627E-46F2-8AA4-2347BD324405}"/>
    <hyperlink ref="H22" r:id="rId2" xr:uid="{751353DB-0764-481F-A87E-A43E2D5F2F12}"/>
    <hyperlink ref="H23" r:id="rId3" xr:uid="{524C0260-4E9C-47F1-A11B-3FC34C0C1297}"/>
    <hyperlink ref="H24" r:id="rId4" xr:uid="{90964BA0-09B6-4951-B1A0-447C68449EBE}"/>
    <hyperlink ref="H16" r:id="rId5" xr:uid="{482A6287-985A-4903-BC1A-BF955E0F4C92}"/>
    <hyperlink ref="H15" r:id="rId6" xr:uid="{F356B1DF-2005-46AA-8AFF-88EE7FAE92FD}"/>
    <hyperlink ref="H17" r:id="rId7" xr:uid="{B687F2A1-2D7E-46F9-9104-690BAD9DF389}"/>
    <hyperlink ref="H18" r:id="rId8" xr:uid="{4311ED15-9B4C-4A4E-A295-599737540E58}"/>
    <hyperlink ref="H26" r:id="rId9" xr:uid="{5B2F888A-18E1-462A-87F2-9B725AAE0FFC}"/>
    <hyperlink ref="H28" r:id="rId10" xr:uid="{514FF59F-3579-4B64-AB09-EC6E721559A9}"/>
    <hyperlink ref="H12" r:id="rId11" xr:uid="{01F8772E-21B3-4050-817A-3D58D8CBBAF3}"/>
    <hyperlink ref="A38" r:id="rId12" display="https://www.ncbi.nlm.nih.gov/pmc/articles/PMC10746266/" xr:uid="{9C29B033-CBB3-4BB0-853A-D99FFE547F31}"/>
    <hyperlink ref="A39" r:id="rId13" display="https://www.ncbi.nlm.nih.gov/pmc/articles/PMC10859794/" xr:uid="{B3C17469-8A43-40A6-AC7C-8E0FC288D2FE}"/>
    <hyperlink ref="A41" r:id="rId14" display="https://www.ncbi.nlm.nih.gov/pmc/articles/PMC10756841/" xr:uid="{8CF4BBBE-2BA9-4855-BEA4-9A09C0ABC779}"/>
    <hyperlink ref="A40" r:id="rId15" display="https://www.ncbi.nlm.nih.gov/pmc/articles/PMC10561574/" xr:uid="{CCA941A5-50B5-412C-B302-D14D69820767}"/>
    <hyperlink ref="A43" r:id="rId16" display="https://www.ncbi.nlm.nih.gov/pmc/articles/PMC10767313/" xr:uid="{4F7E2647-89C0-41BF-B8E3-0A4AC99D3472}"/>
    <hyperlink ref="H25" r:id="rId17" xr:uid="{B6A69704-2AFE-4347-A506-62F4A43864C7}"/>
    <hyperlink ref="H27" r:id="rId18" xr:uid="{B843B71F-06AE-4B90-B7C1-FD4332023695}"/>
    <hyperlink ref="H29" r:id="rId19" xr:uid="{1AE7B093-5D46-493D-B333-7E9F5444A654}"/>
    <hyperlink ref="H33" r:id="rId20" xr:uid="{F969231F-7752-400A-9EAA-BC25E3022584}"/>
    <hyperlink ref="H34" r:id="rId21" xr:uid="{B2777BD1-70BD-46FE-BD67-EC9199E482A4}"/>
    <hyperlink ref="H35" r:id="rId22" xr:uid="{A3DE20B7-FB58-4B0A-A11D-B43276EF87D6}"/>
    <hyperlink ref="H51" r:id="rId23" xr:uid="{460E25AC-D721-A24D-8945-2EE093D77921}"/>
    <hyperlink ref="H52" r:id="rId24" xr:uid="{7E4BE3D5-BB1A-C34D-849B-9EE7D70B99BD}"/>
    <hyperlink ref="H53" r:id="rId25" xr:uid="{DD1C5A1E-470C-314F-BA9E-ECF8520E7F20}"/>
    <hyperlink ref="H54" r:id="rId26" xr:uid="{CCA8CBC9-1BB6-CC4D-93A3-0C346D85B2A2}"/>
    <hyperlink ref="H55" r:id="rId27" xr:uid="{CB00A5A7-56BB-9044-B673-AEC7EE5F794A}"/>
    <hyperlink ref="H56" r:id="rId28" xr:uid="{8161C983-D4C5-2E4B-8258-7426563C17A9}"/>
    <hyperlink ref="H57" r:id="rId29" xr:uid="{5BB4AB35-EF28-3D4D-ADDA-21F005BBC827}"/>
    <hyperlink ref="H58" r:id="rId30" xr:uid="{5B7E9F1F-3B54-6343-9F95-67C024794A58}"/>
    <hyperlink ref="H60" r:id="rId31" xr:uid="{D39D881C-E0C2-554F-817F-CBA5FBC49958}"/>
    <hyperlink ref="H61" r:id="rId32" xr:uid="{BC3FC94C-38C1-EE41-8DD2-44FDE5B2BFA6}"/>
    <hyperlink ref="H62" r:id="rId33" xr:uid="{329BA9B1-E956-5548-BDDC-D94D2FB9B087}"/>
    <hyperlink ref="A59" r:id="rId34" display="https://www.ncbi.nlm.nih.gov/pmc/articles/PMC10747904/" xr:uid="{FB3F7117-C33B-2F47-B7D1-5D5FDB6ECB37}"/>
    <hyperlink ref="H59" r:id="rId35" xr:uid="{9B784D8A-FF93-F74B-B8F3-FB8A18F72DC0}"/>
    <hyperlink ref="H30" r:id="rId36" xr:uid="{9CA8D01E-F70E-4C1B-AA73-9518C870830F}"/>
    <hyperlink ref="H31" r:id="rId37" xr:uid="{6DCDCD81-5534-48BD-9494-0E2535DA836D}"/>
    <hyperlink ref="H32" r:id="rId38" xr:uid="{955C913E-4216-4626-A887-4DF26AFFBBEB}"/>
    <hyperlink ref="H36" r:id="rId39" xr:uid="{8CA64B40-9144-40E7-87B7-F39FD6B921F6}"/>
    <hyperlink ref="H47" r:id="rId40" xr:uid="{E247EF14-B182-4135-A103-8F7FAAB96910}"/>
    <hyperlink ref="H46" r:id="rId41" location="results-section" xr:uid="{4065E845-4C5E-4F5B-B65F-BC75067E7DEA}"/>
    <hyperlink ref="H45" r:id="rId42" location="results-section" xr:uid="{42806CBD-E75E-4B92-81DD-189087BDA692}"/>
    <hyperlink ref="H44" r:id="rId43" location="results-section" xr:uid="{3ADAC854-E522-4C83-9711-C4360CDA2A34}"/>
    <hyperlink ref="H48" r:id="rId44" location="results-section" xr:uid="{D1C1861D-01E3-48F0-A2B1-EC7527752483}"/>
    <hyperlink ref="H49" r:id="rId45" location="results-section" xr:uid="{C09A508C-04AD-4A14-8AE1-37F1A9291F4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E6FB3-AD86-4EE4-A688-F4E6D83F72E4}">
  <sheetPr>
    <tabColor rgb="FF00B050"/>
    <outlinePr summaryBelow="0" summaryRight="0"/>
  </sheetPr>
  <dimension ref="A1:P408"/>
  <sheetViews>
    <sheetView tabSelected="1" zoomScale="94" zoomScaleNormal="70" workbookViewId="0">
      <pane ySplit="2" topLeftCell="A384" activePane="bottomLeft" state="frozen"/>
      <selection pane="bottomLeft" activeCell="B392" sqref="B392"/>
    </sheetView>
  </sheetViews>
  <sheetFormatPr defaultColWidth="12.42578125" defaultRowHeight="15.75" customHeight="1"/>
  <cols>
    <col min="1" max="1" width="15.42578125" customWidth="1"/>
    <col min="2" max="2" width="23.7109375" customWidth="1"/>
    <col min="3" max="3" width="16.5703125" style="124" customWidth="1"/>
    <col min="4" max="4" width="14.85546875" customWidth="1"/>
    <col min="5" max="5" width="8.85546875" style="13" customWidth="1"/>
    <col min="6" max="6" width="8.42578125" style="10" customWidth="1"/>
    <col min="7" max="7" width="12.5703125" style="124" customWidth="1"/>
    <col min="8" max="8" width="12.85546875" style="141" customWidth="1"/>
    <col min="9" max="9" width="45.5703125" customWidth="1"/>
  </cols>
  <sheetData>
    <row r="1" spans="1:13" ht="12.95">
      <c r="A1" s="3" t="s">
        <v>294</v>
      </c>
      <c r="B1" s="4"/>
      <c r="C1" s="183"/>
      <c r="D1" s="4"/>
      <c r="E1" s="20"/>
      <c r="F1" s="6"/>
      <c r="G1" s="183"/>
      <c r="H1" s="139"/>
    </row>
    <row r="2" spans="1:13" ht="39">
      <c r="A2" s="81" t="s">
        <v>295</v>
      </c>
      <c r="B2" s="150" t="s">
        <v>296</v>
      </c>
      <c r="C2" s="184" t="s">
        <v>297</v>
      </c>
      <c r="D2" s="150" t="s">
        <v>298</v>
      </c>
      <c r="E2" s="151" t="s">
        <v>299</v>
      </c>
      <c r="F2" s="152" t="s">
        <v>300</v>
      </c>
      <c r="G2" s="184" t="s">
        <v>301</v>
      </c>
      <c r="H2" s="153" t="s">
        <v>302</v>
      </c>
      <c r="I2" s="150" t="s">
        <v>52</v>
      </c>
    </row>
    <row r="3" spans="1:13" ht="15.75" customHeight="1">
      <c r="A3" s="145"/>
      <c r="B3" s="145"/>
      <c r="C3" s="187"/>
      <c r="D3" s="146"/>
      <c r="E3" s="147"/>
      <c r="F3" s="148"/>
      <c r="G3" s="185"/>
      <c r="H3" s="149"/>
      <c r="I3" t="s">
        <v>303</v>
      </c>
    </row>
    <row r="4" spans="1:13" ht="15.75" customHeight="1">
      <c r="A4" s="9">
        <v>14584365</v>
      </c>
      <c r="B4" t="s">
        <v>66</v>
      </c>
      <c r="C4" s="124" t="s">
        <v>304</v>
      </c>
      <c r="D4" s="101">
        <v>247333</v>
      </c>
      <c r="E4" s="13">
        <v>4</v>
      </c>
      <c r="G4" s="124">
        <f>SUM(E4:F4)</f>
        <v>4</v>
      </c>
    </row>
    <row r="5" spans="1:13" ht="15.75" customHeight="1">
      <c r="B5" t="s">
        <v>305</v>
      </c>
      <c r="C5" s="124" t="s">
        <v>304</v>
      </c>
      <c r="D5" s="101">
        <v>766601</v>
      </c>
      <c r="E5" s="13">
        <v>1</v>
      </c>
      <c r="G5" s="124">
        <f>SUM(E5:F5)</f>
        <v>1</v>
      </c>
    </row>
    <row r="6" spans="1:13" ht="15.75" customHeight="1">
      <c r="B6" t="s">
        <v>306</v>
      </c>
      <c r="C6" s="124" t="s">
        <v>307</v>
      </c>
      <c r="D6" t="s">
        <v>308</v>
      </c>
      <c r="E6" s="13">
        <v>1</v>
      </c>
      <c r="G6" s="124">
        <f>SUM(E6:F6)</f>
        <v>1</v>
      </c>
    </row>
    <row r="7" spans="1:13" ht="15.75" customHeight="1">
      <c r="B7" t="s">
        <v>309</v>
      </c>
      <c r="C7" s="172" t="s">
        <v>304</v>
      </c>
      <c r="D7" s="101">
        <v>770315</v>
      </c>
      <c r="E7" s="13">
        <v>7</v>
      </c>
      <c r="G7" s="124">
        <f>SUM(E7:F7)</f>
        <v>7</v>
      </c>
    </row>
    <row r="8" spans="1:13" ht="15.75" customHeight="1">
      <c r="B8" t="s">
        <v>310</v>
      </c>
      <c r="C8" s="124" t="s">
        <v>307</v>
      </c>
      <c r="D8" s="101" t="s">
        <v>311</v>
      </c>
      <c r="E8" s="13">
        <v>1</v>
      </c>
      <c r="G8" s="124">
        <f>SUM(E8:F8)</f>
        <v>1</v>
      </c>
    </row>
    <row r="9" spans="1:13" ht="15.75" customHeight="1">
      <c r="B9" s="101" t="s">
        <v>312</v>
      </c>
      <c r="C9" s="124" t="s">
        <v>304</v>
      </c>
      <c r="D9" s="101">
        <v>507125</v>
      </c>
      <c r="E9" s="13">
        <v>1</v>
      </c>
      <c r="G9" s="124">
        <f>SUM(E9:F9)</f>
        <v>1</v>
      </c>
      <c r="H9" s="141">
        <v>1</v>
      </c>
    </row>
    <row r="10" spans="1:13" ht="15.75" customHeight="1">
      <c r="A10" s="64"/>
      <c r="B10" s="64"/>
      <c r="C10" s="63"/>
      <c r="D10" s="103"/>
      <c r="E10" s="61"/>
      <c r="F10" s="62"/>
      <c r="G10" s="62"/>
      <c r="H10" s="62"/>
      <c r="I10" s="60" t="s">
        <v>313</v>
      </c>
    </row>
    <row r="11" spans="1:13" ht="15.75" customHeight="1">
      <c r="A11" s="14" t="s">
        <v>176</v>
      </c>
      <c r="B11" s="14" t="s">
        <v>314</v>
      </c>
      <c r="C11" s="14" t="s">
        <v>304</v>
      </c>
      <c r="D11" s="14">
        <v>150778</v>
      </c>
      <c r="E11" s="13">
        <v>3</v>
      </c>
      <c r="G11" s="14">
        <f>SUM(E11:F11)</f>
        <v>3</v>
      </c>
      <c r="H11" s="142"/>
      <c r="I11" s="14"/>
      <c r="J11" s="46"/>
      <c r="K11" s="15"/>
      <c r="L11" s="46"/>
      <c r="M11" s="13"/>
    </row>
    <row r="12" spans="1:13" ht="15.75" customHeight="1">
      <c r="A12" s="14"/>
      <c r="B12" s="101" t="s">
        <v>315</v>
      </c>
      <c r="C12" s="172" t="s">
        <v>307</v>
      </c>
      <c r="D12" s="101" t="s">
        <v>316</v>
      </c>
      <c r="E12" s="13">
        <v>4</v>
      </c>
      <c r="G12" s="14">
        <f>SUM(E12:F12)</f>
        <v>4</v>
      </c>
      <c r="H12" s="142">
        <v>4</v>
      </c>
      <c r="I12" s="14" t="s">
        <v>317</v>
      </c>
      <c r="J12" s="46"/>
      <c r="K12" s="46"/>
      <c r="L12" s="46"/>
      <c r="M12" s="13"/>
    </row>
    <row r="13" spans="1:13" ht="15.75" customHeight="1">
      <c r="A13" s="14"/>
      <c r="B13" s="14" t="s">
        <v>318</v>
      </c>
      <c r="C13" s="14" t="s">
        <v>304</v>
      </c>
      <c r="D13" s="14">
        <v>150787</v>
      </c>
      <c r="E13" s="13">
        <v>9</v>
      </c>
      <c r="G13" s="14">
        <f>SUM(E13:F13)</f>
        <v>9</v>
      </c>
      <c r="H13" s="142"/>
      <c r="I13" s="14"/>
      <c r="J13" s="46"/>
      <c r="K13" s="46"/>
      <c r="L13" s="46"/>
      <c r="M13" s="13"/>
    </row>
    <row r="14" spans="1:13" ht="15.75" customHeight="1">
      <c r="A14" s="14"/>
      <c r="B14" s="14" t="s">
        <v>319</v>
      </c>
      <c r="C14" s="14" t="s">
        <v>304</v>
      </c>
      <c r="D14" s="14">
        <v>617210</v>
      </c>
      <c r="E14" s="13">
        <v>7</v>
      </c>
      <c r="G14" s="14">
        <f>SUM(E14:F14)</f>
        <v>7</v>
      </c>
      <c r="H14" s="142"/>
      <c r="I14" s="14"/>
      <c r="J14" s="46"/>
      <c r="K14" s="46"/>
      <c r="L14" s="46"/>
      <c r="M14" s="13"/>
    </row>
    <row r="15" spans="1:13" ht="15.75" customHeight="1">
      <c r="A15" s="14"/>
      <c r="B15" s="14" t="s">
        <v>320</v>
      </c>
      <c r="C15" s="14" t="s">
        <v>304</v>
      </c>
      <c r="D15" s="14">
        <v>353596</v>
      </c>
      <c r="E15" s="13">
        <v>2</v>
      </c>
      <c r="G15" s="14">
        <f>SUM(E15:F15)</f>
        <v>2</v>
      </c>
      <c r="H15" s="142"/>
      <c r="I15" s="14"/>
      <c r="J15" s="46"/>
      <c r="K15" s="46"/>
      <c r="L15" s="46"/>
      <c r="M15" s="13"/>
    </row>
    <row r="16" spans="1:13" ht="15.75" customHeight="1">
      <c r="A16" s="14"/>
      <c r="B16" s="14" t="s">
        <v>321</v>
      </c>
      <c r="C16" s="14" t="s">
        <v>304</v>
      </c>
      <c r="D16" s="14">
        <v>765185</v>
      </c>
      <c r="E16" s="13">
        <v>4</v>
      </c>
      <c r="G16" s="14">
        <f>SUM(E16:F16)</f>
        <v>4</v>
      </c>
      <c r="H16" s="142"/>
      <c r="I16" s="14"/>
      <c r="J16" s="46"/>
      <c r="K16" s="46"/>
      <c r="L16" s="46"/>
      <c r="M16" s="13"/>
    </row>
    <row r="17" spans="1:13" ht="15.75" customHeight="1">
      <c r="A17" s="14"/>
      <c r="B17" s="14" t="s">
        <v>111</v>
      </c>
      <c r="C17" s="14" t="s">
        <v>304</v>
      </c>
      <c r="D17" s="14">
        <v>574724</v>
      </c>
      <c r="E17" s="13">
        <v>3</v>
      </c>
      <c r="G17" s="124">
        <f>SUM(E17:F17)</f>
        <v>3</v>
      </c>
      <c r="J17" s="46"/>
      <c r="K17" s="46"/>
      <c r="L17" s="46"/>
      <c r="M17" s="13"/>
    </row>
    <row r="18" spans="1:13" ht="15.75" customHeight="1">
      <c r="B18" s="14" t="s">
        <v>322</v>
      </c>
      <c r="C18" s="14" t="s">
        <v>304</v>
      </c>
      <c r="D18" s="14">
        <v>628985</v>
      </c>
      <c r="E18" s="13">
        <v>2</v>
      </c>
      <c r="G18" s="124">
        <f>SUM(E18:F18)</f>
        <v>2</v>
      </c>
      <c r="J18" s="46"/>
      <c r="K18" s="46"/>
      <c r="L18" s="46"/>
      <c r="M18" s="13"/>
    </row>
    <row r="19" spans="1:13" ht="15.75" customHeight="1">
      <c r="B19" s="14" t="s">
        <v>323</v>
      </c>
      <c r="C19" s="14" t="s">
        <v>304</v>
      </c>
      <c r="D19" s="14">
        <v>3538961</v>
      </c>
      <c r="F19" s="10">
        <v>2</v>
      </c>
      <c r="G19" s="124">
        <f>SUM(E19:F19)</f>
        <v>2</v>
      </c>
      <c r="I19" t="s">
        <v>324</v>
      </c>
      <c r="J19" s="46"/>
      <c r="K19" s="46"/>
      <c r="L19" s="46"/>
      <c r="M19" s="13"/>
    </row>
    <row r="20" spans="1:13" ht="15.75" customHeight="1">
      <c r="B20" s="14" t="s">
        <v>325</v>
      </c>
      <c r="C20" s="14" t="s">
        <v>307</v>
      </c>
      <c r="D20" s="11" t="s">
        <v>326</v>
      </c>
      <c r="E20" s="13">
        <v>2</v>
      </c>
      <c r="G20" s="124">
        <f>SUM(E20:F20)</f>
        <v>2</v>
      </c>
      <c r="H20">
        <v>2</v>
      </c>
      <c r="I20" s="14" t="s">
        <v>317</v>
      </c>
      <c r="J20" s="46"/>
      <c r="K20" s="46"/>
      <c r="L20" s="46"/>
      <c r="M20" s="13"/>
    </row>
    <row r="21" spans="1:13" ht="15.75" customHeight="1">
      <c r="B21" s="14" t="s">
        <v>327</v>
      </c>
      <c r="C21" s="14" t="s">
        <v>304</v>
      </c>
      <c r="D21" s="14">
        <v>81461</v>
      </c>
      <c r="E21" s="13">
        <v>1</v>
      </c>
      <c r="G21" s="124">
        <f>SUM(E21:F21)</f>
        <v>1</v>
      </c>
      <c r="J21" s="46"/>
      <c r="K21" s="46"/>
      <c r="L21" s="46"/>
      <c r="M21" s="13"/>
    </row>
    <row r="22" spans="1:13" ht="15.75" customHeight="1">
      <c r="B22" s="14" t="s">
        <v>328</v>
      </c>
      <c r="C22" s="14" t="s">
        <v>304</v>
      </c>
      <c r="D22" s="14">
        <v>1080480</v>
      </c>
      <c r="E22" s="13">
        <v>5</v>
      </c>
      <c r="G22" s="124">
        <f>SUM(E22:F22)</f>
        <v>5</v>
      </c>
      <c r="H22">
        <v>5</v>
      </c>
      <c r="I22" t="s">
        <v>329</v>
      </c>
      <c r="J22" s="46"/>
      <c r="K22" s="46"/>
      <c r="L22" s="46"/>
      <c r="M22" s="13"/>
    </row>
    <row r="23" spans="1:13" ht="15.75" customHeight="1">
      <c r="B23" s="14" t="s">
        <v>330</v>
      </c>
      <c r="C23" s="14" t="s">
        <v>304</v>
      </c>
      <c r="D23" s="14">
        <v>770309</v>
      </c>
      <c r="E23" s="13">
        <v>1</v>
      </c>
      <c r="G23" s="124">
        <f>SUM(E23:F23)</f>
        <v>1</v>
      </c>
      <c r="J23" s="46"/>
      <c r="K23" s="46"/>
      <c r="L23" s="46"/>
      <c r="M23" s="13"/>
    </row>
    <row r="24" spans="1:13" ht="15.75" customHeight="1">
      <c r="B24" s="14" t="s">
        <v>331</v>
      </c>
      <c r="C24" s="14" t="s">
        <v>304</v>
      </c>
      <c r="D24" s="14">
        <v>7631511</v>
      </c>
      <c r="F24" s="10">
        <v>3</v>
      </c>
      <c r="G24" s="124">
        <f>SUM(E24:F24)</f>
        <v>3</v>
      </c>
      <c r="I24" t="s">
        <v>332</v>
      </c>
      <c r="J24" s="46"/>
      <c r="K24" s="46"/>
      <c r="L24" s="46"/>
      <c r="M24" s="13"/>
    </row>
    <row r="25" spans="1:13" ht="15.6" customHeight="1">
      <c r="B25" s="14" t="s">
        <v>58</v>
      </c>
      <c r="C25" s="14" t="s">
        <v>304</v>
      </c>
      <c r="D25" s="14">
        <v>81461</v>
      </c>
      <c r="E25" s="13">
        <v>1</v>
      </c>
      <c r="G25" s="124">
        <f>SUM(E25:F25)</f>
        <v>1</v>
      </c>
      <c r="J25" s="46"/>
      <c r="K25" s="46"/>
      <c r="L25" s="46"/>
      <c r="M25" s="13"/>
    </row>
    <row r="26" spans="1:13" ht="15.75" customHeight="1">
      <c r="A26" s="64"/>
      <c r="B26" s="64"/>
      <c r="C26" s="63"/>
      <c r="D26" s="103"/>
      <c r="E26" s="61"/>
      <c r="F26" s="62"/>
      <c r="G26" s="62"/>
      <c r="H26" s="140"/>
      <c r="I26" t="s">
        <v>333</v>
      </c>
    </row>
    <row r="27" spans="1:13" ht="15.75" customHeight="1">
      <c r="A27" s="14" t="s">
        <v>334</v>
      </c>
      <c r="B27" s="15" t="s">
        <v>335</v>
      </c>
      <c r="C27" s="14" t="s">
        <v>304</v>
      </c>
      <c r="D27" s="15">
        <v>269666</v>
      </c>
      <c r="E27" s="13">
        <v>1</v>
      </c>
      <c r="F27" s="45"/>
      <c r="G27" s="14">
        <f>SUM(E27:F27)</f>
        <v>1</v>
      </c>
      <c r="H27" s="142"/>
      <c r="I27" s="36"/>
    </row>
    <row r="28" spans="1:13" ht="15.75" customHeight="1">
      <c r="A28" s="36"/>
      <c r="B28" s="15" t="s">
        <v>336</v>
      </c>
      <c r="C28" s="14" t="s">
        <v>307</v>
      </c>
      <c r="D28" s="15" t="s">
        <v>337</v>
      </c>
      <c r="E28" s="13">
        <v>1</v>
      </c>
      <c r="G28" s="124">
        <f>SUM(E28:F28)</f>
        <v>1</v>
      </c>
      <c r="I28" s="36"/>
    </row>
    <row r="29" spans="1:13" ht="15.75" customHeight="1">
      <c r="A29" s="36"/>
      <c r="B29" s="15" t="s">
        <v>309</v>
      </c>
      <c r="C29" s="14" t="s">
        <v>304</v>
      </c>
      <c r="D29" s="15">
        <v>770315</v>
      </c>
      <c r="E29" s="13">
        <v>1</v>
      </c>
      <c r="G29" s="124">
        <f>SUM(E29:F29)</f>
        <v>1</v>
      </c>
      <c r="I29" s="36"/>
    </row>
    <row r="30" spans="1:13" ht="15.75" customHeight="1">
      <c r="A30" s="36"/>
      <c r="B30" s="15" t="s">
        <v>338</v>
      </c>
      <c r="C30" s="14" t="s">
        <v>307</v>
      </c>
      <c r="D30" s="15" t="s">
        <v>339</v>
      </c>
      <c r="E30" s="13">
        <v>1</v>
      </c>
      <c r="G30" s="124">
        <f>SUM(E30:F30)</f>
        <v>1</v>
      </c>
      <c r="I30" s="36"/>
    </row>
    <row r="31" spans="1:13" ht="15.75" customHeight="1">
      <c r="A31" s="36"/>
      <c r="B31" s="15" t="s">
        <v>340</v>
      </c>
      <c r="C31" s="14" t="s">
        <v>304</v>
      </c>
      <c r="D31" s="15">
        <v>3391751</v>
      </c>
      <c r="F31" s="10">
        <v>1</v>
      </c>
      <c r="G31" s="124">
        <f>SUM(E31:F31)</f>
        <v>1</v>
      </c>
      <c r="I31" t="s">
        <v>341</v>
      </c>
    </row>
    <row r="32" spans="1:13" ht="15.75" customHeight="1">
      <c r="A32" s="36"/>
      <c r="B32" s="15" t="s">
        <v>342</v>
      </c>
      <c r="C32" s="14" t="s">
        <v>304</v>
      </c>
      <c r="D32" s="15">
        <v>122021</v>
      </c>
      <c r="F32" s="10">
        <v>3</v>
      </c>
      <c r="G32" s="124">
        <f>SUM(E32:F32)</f>
        <v>3</v>
      </c>
      <c r="I32" s="11" t="s">
        <v>343</v>
      </c>
    </row>
    <row r="33" spans="1:9" ht="15.75" customHeight="1">
      <c r="A33" s="36"/>
      <c r="B33" s="15" t="s">
        <v>344</v>
      </c>
      <c r="C33" s="14" t="s">
        <v>304</v>
      </c>
      <c r="D33" s="15">
        <v>269670</v>
      </c>
      <c r="E33" s="13">
        <v>2</v>
      </c>
      <c r="F33" s="45"/>
      <c r="G33" s="14">
        <f>SUM(E33:F33)</f>
        <v>2</v>
      </c>
      <c r="H33" s="142"/>
    </row>
    <row r="34" spans="1:9" ht="15.75" customHeight="1">
      <c r="A34" s="60"/>
      <c r="B34" s="64"/>
      <c r="C34" s="63"/>
      <c r="D34" s="103"/>
      <c r="E34" s="61"/>
      <c r="F34" s="62"/>
      <c r="G34" s="62"/>
      <c r="H34" s="140"/>
      <c r="I34" s="60"/>
    </row>
    <row r="35" spans="1:9" ht="15.75" customHeight="1">
      <c r="A35" s="14">
        <v>14515152</v>
      </c>
      <c r="B35" s="14" t="s">
        <v>345</v>
      </c>
      <c r="C35" s="14" t="s">
        <v>304</v>
      </c>
      <c r="D35" s="14">
        <v>140805</v>
      </c>
      <c r="E35" s="13">
        <v>4</v>
      </c>
      <c r="G35" s="14">
        <f>SUM(E35:F35)</f>
        <v>4</v>
      </c>
      <c r="H35" s="142"/>
      <c r="I35" s="14"/>
    </row>
    <row r="36" spans="1:9" ht="15.75" customHeight="1">
      <c r="A36" s="14"/>
      <c r="B36" s="14" t="s">
        <v>346</v>
      </c>
      <c r="C36" s="14" t="s">
        <v>307</v>
      </c>
      <c r="D36" s="14" t="s">
        <v>347</v>
      </c>
      <c r="E36" s="13">
        <v>1</v>
      </c>
      <c r="G36" s="14">
        <f>SUM(E36:F36)</f>
        <v>1</v>
      </c>
      <c r="H36" s="142"/>
      <c r="I36" s="14"/>
    </row>
    <row r="37" spans="1:9" ht="15.75" customHeight="1">
      <c r="A37" s="14"/>
      <c r="B37" s="14" t="s">
        <v>348</v>
      </c>
      <c r="C37" s="14" t="s">
        <v>307</v>
      </c>
      <c r="D37" s="14" t="s">
        <v>349</v>
      </c>
      <c r="E37" s="13">
        <v>1</v>
      </c>
      <c r="G37" s="14">
        <f>SUM(E37:F37)</f>
        <v>1</v>
      </c>
      <c r="H37" s="142"/>
      <c r="I37" s="14"/>
    </row>
    <row r="38" spans="1:9" ht="15.75" customHeight="1">
      <c r="A38" s="60"/>
      <c r="B38" s="60"/>
      <c r="C38" s="63"/>
      <c r="D38" s="103"/>
      <c r="E38" s="61"/>
      <c r="F38" s="62"/>
      <c r="G38" s="62"/>
      <c r="H38" s="140"/>
      <c r="I38" s="60"/>
    </row>
    <row r="39" spans="1:9" ht="15.75" customHeight="1">
      <c r="A39" s="14">
        <v>3381603</v>
      </c>
      <c r="B39" s="101" t="s">
        <v>350</v>
      </c>
      <c r="C39" s="14" t="s">
        <v>304</v>
      </c>
      <c r="D39" s="101">
        <v>1080470</v>
      </c>
      <c r="E39" s="13">
        <v>2</v>
      </c>
      <c r="G39" s="14">
        <f>SUM(E39:F39)</f>
        <v>2</v>
      </c>
      <c r="H39" s="142"/>
      <c r="I39" s="14"/>
    </row>
    <row r="40" spans="1:9" ht="15.75" customHeight="1">
      <c r="A40" s="14"/>
      <c r="B40" s="101" t="s">
        <v>309</v>
      </c>
      <c r="C40" s="14" t="s">
        <v>304</v>
      </c>
      <c r="D40" s="14">
        <v>770315</v>
      </c>
      <c r="E40" s="13">
        <v>2</v>
      </c>
      <c r="G40" s="14">
        <f>SUM(E40:F40)</f>
        <v>2</v>
      </c>
      <c r="H40" s="142"/>
      <c r="I40" s="14"/>
    </row>
    <row r="41" spans="1:9" ht="15.75" customHeight="1">
      <c r="A41" s="14"/>
      <c r="B41" s="14" t="s">
        <v>318</v>
      </c>
      <c r="C41" s="14" t="s">
        <v>304</v>
      </c>
      <c r="D41" s="101">
        <v>150787</v>
      </c>
      <c r="E41" s="13">
        <v>1</v>
      </c>
      <c r="G41" s="14">
        <f>SUM(E41:F41)</f>
        <v>1</v>
      </c>
      <c r="H41" s="142"/>
      <c r="I41" s="14"/>
    </row>
    <row r="42" spans="1:9" ht="15.75" customHeight="1">
      <c r="A42" s="14"/>
      <c r="B42" s="14" t="s">
        <v>351</v>
      </c>
      <c r="C42" s="14" t="s">
        <v>304</v>
      </c>
      <c r="D42" s="101">
        <v>864596</v>
      </c>
      <c r="E42" s="13">
        <v>1</v>
      </c>
      <c r="G42" s="14">
        <f>SUM(E42:F42)</f>
        <v>1</v>
      </c>
      <c r="H42" s="142"/>
      <c r="I42" s="14"/>
    </row>
    <row r="43" spans="1:9" ht="15.75" customHeight="1">
      <c r="A43" s="14"/>
      <c r="B43" s="14" t="s">
        <v>328</v>
      </c>
      <c r="C43" s="14" t="s">
        <v>304</v>
      </c>
      <c r="D43" s="14">
        <v>1080480</v>
      </c>
      <c r="E43" s="13">
        <v>1</v>
      </c>
      <c r="G43" s="14">
        <f>SUM(E43:F43)</f>
        <v>1</v>
      </c>
      <c r="H43" s="142"/>
      <c r="I43" s="14"/>
    </row>
    <row r="44" spans="1:9" ht="15.75" customHeight="1">
      <c r="A44" s="60"/>
      <c r="B44" s="60"/>
      <c r="C44" s="63"/>
      <c r="D44" s="103"/>
      <c r="E44" s="61"/>
      <c r="F44" s="62"/>
      <c r="G44" s="62"/>
      <c r="H44" s="140"/>
      <c r="I44" s="60"/>
    </row>
    <row r="45" spans="1:9" ht="15.75" customHeight="1">
      <c r="A45" s="14" t="s">
        <v>169</v>
      </c>
      <c r="B45" s="14" t="s">
        <v>352</v>
      </c>
      <c r="C45" s="14" t="s">
        <v>307</v>
      </c>
      <c r="D45" s="14" t="s">
        <v>353</v>
      </c>
      <c r="E45" s="13">
        <v>1</v>
      </c>
      <c r="G45" s="14">
        <f>SUM(E45:F45)</f>
        <v>1</v>
      </c>
      <c r="H45" s="142"/>
      <c r="I45" s="14"/>
    </row>
    <row r="46" spans="1:9" ht="15.75" customHeight="1">
      <c r="A46" s="60"/>
      <c r="B46" s="60"/>
      <c r="C46" s="63"/>
      <c r="D46" s="103"/>
      <c r="E46" s="61"/>
      <c r="F46" s="62"/>
      <c r="G46" s="62"/>
      <c r="H46" s="140"/>
      <c r="I46" s="60"/>
    </row>
    <row r="47" spans="1:9" ht="15.75" customHeight="1">
      <c r="A47" s="14">
        <v>10405354</v>
      </c>
      <c r="B47" s="14" t="s">
        <v>354</v>
      </c>
      <c r="C47" s="14" t="s">
        <v>304</v>
      </c>
      <c r="D47" s="14">
        <v>490099</v>
      </c>
      <c r="E47" s="13">
        <v>1</v>
      </c>
      <c r="G47" s="14">
        <f>SUM(E47:F47)</f>
        <v>1</v>
      </c>
      <c r="H47" s="142"/>
      <c r="I47" s="14"/>
    </row>
    <row r="48" spans="1:9" ht="15.75" customHeight="1">
      <c r="A48" s="14"/>
      <c r="B48" s="14" t="s">
        <v>355</v>
      </c>
      <c r="C48" s="14" t="s">
        <v>356</v>
      </c>
      <c r="D48" s="14">
        <v>202204988</v>
      </c>
      <c r="E48" s="13">
        <v>1</v>
      </c>
      <c r="G48" s="14">
        <f>SUM(E48:F48)</f>
        <v>1</v>
      </c>
      <c r="H48" s="142"/>
      <c r="I48" s="14"/>
    </row>
    <row r="49" spans="1:9" ht="15.75" customHeight="1">
      <c r="A49" s="14"/>
      <c r="B49" s="14" t="s">
        <v>309</v>
      </c>
      <c r="C49" s="14" t="s">
        <v>304</v>
      </c>
      <c r="D49" s="14">
        <v>770315</v>
      </c>
      <c r="E49" s="13">
        <v>1</v>
      </c>
      <c r="G49" s="14">
        <f>SUM(E49:F49)</f>
        <v>1</v>
      </c>
      <c r="H49" s="142"/>
      <c r="I49" s="14"/>
    </row>
    <row r="50" spans="1:9" ht="15.75" customHeight="1">
      <c r="A50" s="14"/>
      <c r="B50" s="14" t="s">
        <v>352</v>
      </c>
      <c r="C50" s="14" t="s">
        <v>307</v>
      </c>
      <c r="D50" s="14" t="s">
        <v>353</v>
      </c>
      <c r="E50" s="13">
        <v>1</v>
      </c>
      <c r="G50" s="14">
        <f>SUM(E50:F50)</f>
        <v>1</v>
      </c>
      <c r="H50" s="142"/>
      <c r="I50" s="14"/>
    </row>
    <row r="51" spans="1:9" ht="15.75" customHeight="1">
      <c r="A51" s="14"/>
      <c r="B51" s="14" t="s">
        <v>357</v>
      </c>
      <c r="C51" s="14" t="s">
        <v>304</v>
      </c>
      <c r="D51" s="14">
        <v>576093</v>
      </c>
      <c r="E51" s="13">
        <v>1</v>
      </c>
      <c r="G51" s="14">
        <f>SUM(E51:F51)</f>
        <v>1</v>
      </c>
      <c r="H51" s="142"/>
      <c r="I51" s="14"/>
    </row>
    <row r="52" spans="1:9" ht="15.75" customHeight="1">
      <c r="A52" s="60"/>
      <c r="B52" s="60"/>
      <c r="C52" s="63"/>
      <c r="D52" s="103"/>
      <c r="E52" s="61"/>
      <c r="F52" s="62"/>
      <c r="G52" s="62"/>
      <c r="H52" s="140"/>
      <c r="I52" s="60"/>
    </row>
    <row r="53" spans="1:9" ht="15.75" customHeight="1">
      <c r="A53" t="s">
        <v>181</v>
      </c>
      <c r="B53" s="14" t="s">
        <v>358</v>
      </c>
      <c r="C53" s="14" t="s">
        <v>304</v>
      </c>
      <c r="D53" s="14">
        <v>263269</v>
      </c>
      <c r="E53" s="13">
        <v>7</v>
      </c>
      <c r="G53" s="124">
        <f>SUM(E53:F53)</f>
        <v>7</v>
      </c>
    </row>
    <row r="54" spans="1:9" ht="15.75" customHeight="1">
      <c r="B54" s="14" t="s">
        <v>359</v>
      </c>
      <c r="C54" s="14" t="s">
        <v>304</v>
      </c>
      <c r="D54" s="14">
        <v>353592</v>
      </c>
      <c r="E54" s="13">
        <v>5</v>
      </c>
      <c r="G54" s="124">
        <f>SUM(E54:F54)</f>
        <v>5</v>
      </c>
    </row>
    <row r="55" spans="1:9" ht="15.75" customHeight="1">
      <c r="B55" s="101" t="s">
        <v>325</v>
      </c>
      <c r="C55" s="14" t="s">
        <v>307</v>
      </c>
      <c r="D55" s="11" t="s">
        <v>326</v>
      </c>
      <c r="E55" s="13">
        <v>2</v>
      </c>
      <c r="G55" s="124">
        <f>SUM(E55:F55)</f>
        <v>2</v>
      </c>
    </row>
    <row r="56" spans="1:9" ht="15.75" customHeight="1">
      <c r="B56" s="14" t="s">
        <v>360</v>
      </c>
      <c r="C56" s="14" t="s">
        <v>307</v>
      </c>
      <c r="D56" s="11" t="s">
        <v>311</v>
      </c>
      <c r="E56" s="13">
        <v>2</v>
      </c>
      <c r="G56" s="124">
        <f>SUM(E56:F56)</f>
        <v>2</v>
      </c>
    </row>
    <row r="57" spans="1:9" ht="15.75" customHeight="1">
      <c r="B57" s="101" t="s">
        <v>336</v>
      </c>
      <c r="C57" s="14" t="s">
        <v>307</v>
      </c>
      <c r="D57" s="11" t="s">
        <v>337</v>
      </c>
      <c r="E57" s="13">
        <v>1</v>
      </c>
      <c r="G57" s="124">
        <f>SUM(E57:F57)</f>
        <v>1</v>
      </c>
    </row>
    <row r="58" spans="1:9" ht="15.75" customHeight="1">
      <c r="B58" s="14" t="s">
        <v>318</v>
      </c>
      <c r="C58" s="14" t="s">
        <v>304</v>
      </c>
      <c r="D58">
        <v>150787</v>
      </c>
      <c r="E58" s="13">
        <v>6</v>
      </c>
      <c r="G58" s="124">
        <f>SUM(E58:F58)</f>
        <v>6</v>
      </c>
    </row>
    <row r="59" spans="1:9" ht="15.75" customHeight="1">
      <c r="B59" s="14" t="s">
        <v>306</v>
      </c>
      <c r="C59" s="14" t="s">
        <v>307</v>
      </c>
      <c r="D59" s="11" t="s">
        <v>308</v>
      </c>
      <c r="E59" s="13">
        <v>2</v>
      </c>
      <c r="G59" s="124">
        <f>SUM(E59:F59)</f>
        <v>2</v>
      </c>
    </row>
    <row r="60" spans="1:9" ht="15.75" customHeight="1">
      <c r="B60" s="101" t="s">
        <v>310</v>
      </c>
      <c r="C60" s="14" t="s">
        <v>307</v>
      </c>
      <c r="D60" s="11" t="s">
        <v>311</v>
      </c>
      <c r="E60" s="13">
        <v>2</v>
      </c>
      <c r="G60" s="124">
        <f>SUM(E60:F60)</f>
        <v>2</v>
      </c>
    </row>
    <row r="61" spans="1:9" ht="15.75" customHeight="1">
      <c r="B61" s="14" t="s">
        <v>361</v>
      </c>
      <c r="C61" s="14" t="s">
        <v>304</v>
      </c>
      <c r="D61" s="11">
        <v>150781</v>
      </c>
      <c r="E61" s="13">
        <v>2</v>
      </c>
      <c r="G61" s="124">
        <f>SUM(E61:F61)</f>
        <v>2</v>
      </c>
    </row>
    <row r="62" spans="1:9" ht="15.75" customHeight="1">
      <c r="B62" s="14" t="s">
        <v>328</v>
      </c>
      <c r="C62" s="14" t="s">
        <v>304</v>
      </c>
      <c r="D62" s="101">
        <v>1080480</v>
      </c>
      <c r="E62" s="13">
        <v>1</v>
      </c>
      <c r="G62" s="124">
        <f>SUM(E62:F62)</f>
        <v>1</v>
      </c>
    </row>
    <row r="63" spans="1:9" ht="15.75" customHeight="1">
      <c r="B63" s="101" t="s">
        <v>362</v>
      </c>
      <c r="C63" s="14" t="s">
        <v>307</v>
      </c>
      <c r="D63" s="11" t="s">
        <v>311</v>
      </c>
      <c r="E63" s="13">
        <v>1</v>
      </c>
      <c r="G63" s="124">
        <f>SUM(E63:F63)</f>
        <v>1</v>
      </c>
    </row>
    <row r="64" spans="1:9" ht="15.75" customHeight="1">
      <c r="A64" s="60"/>
      <c r="B64" s="60"/>
      <c r="C64" s="63"/>
      <c r="D64" s="103"/>
      <c r="E64" s="61"/>
      <c r="F64" s="62"/>
      <c r="G64" s="62"/>
      <c r="H64" s="140"/>
      <c r="I64" s="60"/>
    </row>
    <row r="65" spans="1:9" ht="15.75" customHeight="1">
      <c r="A65" t="s">
        <v>184</v>
      </c>
      <c r="B65" s="101" t="s">
        <v>306</v>
      </c>
      <c r="C65" s="172" t="s">
        <v>307</v>
      </c>
      <c r="D65" s="11" t="s">
        <v>308</v>
      </c>
      <c r="E65" s="13">
        <v>2</v>
      </c>
      <c r="G65" s="124">
        <f>SUM(E65:F65)</f>
        <v>2</v>
      </c>
    </row>
    <row r="66" spans="1:9" ht="15.75" customHeight="1">
      <c r="B66" s="101" t="s">
        <v>310</v>
      </c>
      <c r="C66" s="14" t="s">
        <v>307</v>
      </c>
      <c r="D66" s="11" t="s">
        <v>311</v>
      </c>
      <c r="E66" s="13">
        <v>1</v>
      </c>
      <c r="G66" s="124">
        <f>SUM(E66:F66)</f>
        <v>1</v>
      </c>
    </row>
    <row r="67" spans="1:9" ht="15.75" customHeight="1">
      <c r="B67" s="11" t="s">
        <v>318</v>
      </c>
      <c r="C67" s="14" t="s">
        <v>304</v>
      </c>
      <c r="D67">
        <v>150787</v>
      </c>
      <c r="E67" s="13">
        <v>1</v>
      </c>
      <c r="G67" s="124">
        <f>SUM(E67:F67)</f>
        <v>1</v>
      </c>
    </row>
    <row r="68" spans="1:9" ht="15.75" customHeight="1">
      <c r="B68" s="11" t="s">
        <v>325</v>
      </c>
      <c r="C68" s="14" t="s">
        <v>307</v>
      </c>
      <c r="D68" s="11" t="s">
        <v>326</v>
      </c>
      <c r="E68" s="13">
        <v>2</v>
      </c>
      <c r="G68" s="124">
        <f>SUM(E68:F68)</f>
        <v>2</v>
      </c>
    </row>
    <row r="69" spans="1:9" ht="15.75" customHeight="1">
      <c r="B69" s="11" t="s">
        <v>309</v>
      </c>
      <c r="C69" s="14" t="s">
        <v>304</v>
      </c>
      <c r="D69">
        <v>770315</v>
      </c>
      <c r="E69" s="13">
        <v>1</v>
      </c>
      <c r="G69" s="124">
        <f>SUM(E69:F69)</f>
        <v>1</v>
      </c>
    </row>
    <row r="70" spans="1:9" ht="15.75" customHeight="1">
      <c r="B70" s="11" t="s">
        <v>363</v>
      </c>
      <c r="C70" s="14" t="s">
        <v>307</v>
      </c>
      <c r="D70" s="11" t="s">
        <v>353</v>
      </c>
      <c r="E70" s="13">
        <v>1</v>
      </c>
      <c r="G70" s="124">
        <f>SUM(E70:F70)</f>
        <v>1</v>
      </c>
    </row>
    <row r="71" spans="1:9" ht="15.75" customHeight="1">
      <c r="B71" s="11" t="s">
        <v>364</v>
      </c>
      <c r="C71" s="14" t="s">
        <v>307</v>
      </c>
      <c r="D71" s="11" t="s">
        <v>365</v>
      </c>
      <c r="E71" s="13">
        <v>1</v>
      </c>
      <c r="G71" s="124">
        <f>SUM(E71:F71)</f>
        <v>1</v>
      </c>
    </row>
    <row r="72" spans="1:9" ht="15.75" customHeight="1">
      <c r="B72" s="11" t="s">
        <v>366</v>
      </c>
      <c r="C72" s="14" t="s">
        <v>307</v>
      </c>
      <c r="D72" s="11" t="s">
        <v>367</v>
      </c>
      <c r="E72" s="13">
        <v>1</v>
      </c>
      <c r="G72" s="124">
        <f>SUM(E72:F72)</f>
        <v>1</v>
      </c>
    </row>
    <row r="73" spans="1:9" ht="15.75" customHeight="1">
      <c r="B73" s="11" t="s">
        <v>368</v>
      </c>
      <c r="C73" s="14" t="s">
        <v>307</v>
      </c>
      <c r="D73" s="11" t="s">
        <v>308</v>
      </c>
      <c r="E73" s="13">
        <v>1</v>
      </c>
      <c r="G73" s="124">
        <f>SUM(E73:F73)</f>
        <v>1</v>
      </c>
    </row>
    <row r="74" spans="1:9" ht="15.75" customHeight="1">
      <c r="A74" s="60"/>
      <c r="B74" s="60"/>
      <c r="C74" s="63"/>
      <c r="D74" s="103"/>
      <c r="E74" s="61"/>
      <c r="F74" s="62"/>
      <c r="G74" s="62"/>
      <c r="H74" s="140"/>
      <c r="I74" s="60"/>
    </row>
    <row r="75" spans="1:9" ht="15.75" customHeight="1">
      <c r="A75" t="s">
        <v>187</v>
      </c>
      <c r="B75" t="s">
        <v>369</v>
      </c>
      <c r="C75" s="14" t="s">
        <v>307</v>
      </c>
      <c r="D75" s="11" t="s">
        <v>326</v>
      </c>
      <c r="E75" s="13">
        <v>3</v>
      </c>
      <c r="G75" s="124">
        <f>SUM(E75:F75)</f>
        <v>3</v>
      </c>
    </row>
    <row r="76" spans="1:9" ht="15.75" customHeight="1">
      <c r="B76" s="101" t="s">
        <v>310</v>
      </c>
      <c r="C76" s="14" t="s">
        <v>307</v>
      </c>
      <c r="D76" s="11" t="s">
        <v>311</v>
      </c>
      <c r="E76" s="13">
        <v>2</v>
      </c>
      <c r="G76" s="124">
        <f>SUM(E76:F76)</f>
        <v>2</v>
      </c>
    </row>
    <row r="77" spans="1:9" ht="15.75" customHeight="1">
      <c r="B77" s="11" t="s">
        <v>318</v>
      </c>
      <c r="C77" s="14" t="s">
        <v>304</v>
      </c>
      <c r="D77">
        <v>150787</v>
      </c>
      <c r="E77" s="13">
        <v>1</v>
      </c>
      <c r="G77" s="124">
        <f>SUM(E77:F77)</f>
        <v>1</v>
      </c>
    </row>
    <row r="78" spans="1:9" ht="15.75" customHeight="1">
      <c r="B78" s="11" t="s">
        <v>370</v>
      </c>
      <c r="C78" s="172" t="s">
        <v>307</v>
      </c>
      <c r="D78" s="11" t="s">
        <v>371</v>
      </c>
      <c r="E78" s="13">
        <v>5</v>
      </c>
      <c r="G78" s="124">
        <f>SUM(E78:F78)</f>
        <v>5</v>
      </c>
    </row>
    <row r="79" spans="1:9" ht="15.75" customHeight="1">
      <c r="B79" s="11" t="s">
        <v>309</v>
      </c>
      <c r="C79" s="14" t="s">
        <v>304</v>
      </c>
      <c r="D79">
        <v>770315</v>
      </c>
      <c r="E79" s="13">
        <v>3</v>
      </c>
      <c r="G79" s="124">
        <f>SUM(E79:F79)</f>
        <v>3</v>
      </c>
    </row>
    <row r="80" spans="1:9" ht="15.75" customHeight="1">
      <c r="B80" s="11" t="s">
        <v>363</v>
      </c>
      <c r="C80" s="14" t="s">
        <v>307</v>
      </c>
      <c r="D80" s="11" t="s">
        <v>353</v>
      </c>
      <c r="E80" s="13">
        <v>2</v>
      </c>
      <c r="G80" s="124">
        <f>SUM(E80:F80)</f>
        <v>2</v>
      </c>
    </row>
    <row r="81" spans="1:9" ht="15.75" customHeight="1">
      <c r="B81" s="11" t="s">
        <v>330</v>
      </c>
      <c r="C81" s="14" t="s">
        <v>304</v>
      </c>
      <c r="D81" s="11">
        <v>770309</v>
      </c>
      <c r="E81" s="13">
        <v>1</v>
      </c>
      <c r="G81" s="124">
        <f>SUM(E81:F81)</f>
        <v>1</v>
      </c>
      <c r="I81" s="11"/>
    </row>
    <row r="82" spans="1:9" ht="15.75" customHeight="1">
      <c r="A82" s="60"/>
      <c r="B82" s="60"/>
      <c r="C82" s="63"/>
      <c r="D82" s="103"/>
      <c r="E82" s="61"/>
      <c r="F82" s="62"/>
      <c r="G82" s="62"/>
      <c r="H82" s="140"/>
      <c r="I82" s="60"/>
    </row>
    <row r="83" spans="1:9" ht="15.75" customHeight="1">
      <c r="A83" s="11" t="s">
        <v>200</v>
      </c>
      <c r="B83" t="s">
        <v>372</v>
      </c>
      <c r="C83" s="124" t="s">
        <v>304</v>
      </c>
      <c r="D83" s="101">
        <v>493158</v>
      </c>
      <c r="E83" s="13">
        <v>2</v>
      </c>
      <c r="G83" s="124">
        <f>SUM(E83:F83)</f>
        <v>2</v>
      </c>
    </row>
    <row r="84" spans="1:9" ht="15.75" customHeight="1">
      <c r="B84" t="s">
        <v>373</v>
      </c>
      <c r="C84" s="14" t="s">
        <v>307</v>
      </c>
      <c r="D84" s="101" t="s">
        <v>311</v>
      </c>
      <c r="E84" s="13">
        <v>1</v>
      </c>
      <c r="G84" s="124">
        <f>SUM(E84:F84)</f>
        <v>1</v>
      </c>
    </row>
    <row r="85" spans="1:9" ht="15.75" customHeight="1">
      <c r="B85" t="s">
        <v>315</v>
      </c>
      <c r="C85" s="124" t="s">
        <v>307</v>
      </c>
      <c r="D85" t="s">
        <v>316</v>
      </c>
      <c r="E85" s="13">
        <v>1</v>
      </c>
      <c r="G85" s="124">
        <f>SUM(E85:F85)</f>
        <v>1</v>
      </c>
      <c r="H85">
        <v>1</v>
      </c>
      <c r="I85" s="11" t="s">
        <v>317</v>
      </c>
    </row>
    <row r="86" spans="1:9" ht="15.75" customHeight="1">
      <c r="B86" s="101" t="s">
        <v>309</v>
      </c>
      <c r="C86" s="14" t="s">
        <v>304</v>
      </c>
      <c r="D86" s="11">
        <v>770315</v>
      </c>
      <c r="E86" s="13">
        <v>1</v>
      </c>
      <c r="G86" s="124">
        <f>SUM(E86:F86)</f>
        <v>1</v>
      </c>
    </row>
    <row r="87" spans="1:9" ht="15.75" customHeight="1">
      <c r="B87" t="s">
        <v>330</v>
      </c>
      <c r="C87" s="14" t="s">
        <v>304</v>
      </c>
      <c r="D87" s="101">
        <v>770309</v>
      </c>
      <c r="E87" s="13">
        <v>2</v>
      </c>
      <c r="G87" s="124">
        <f>SUM(E87:F87)</f>
        <v>2</v>
      </c>
    </row>
    <row r="88" spans="1:9" ht="15.75" customHeight="1">
      <c r="B88" t="s">
        <v>318</v>
      </c>
      <c r="C88" s="124" t="s">
        <v>304</v>
      </c>
      <c r="D88" s="101">
        <v>150787</v>
      </c>
      <c r="E88" s="13">
        <v>8</v>
      </c>
      <c r="G88" s="124">
        <f>SUM(E88:F88)</f>
        <v>8</v>
      </c>
    </row>
    <row r="89" spans="1:9" ht="15.75" customHeight="1">
      <c r="B89" t="s">
        <v>374</v>
      </c>
      <c r="C89" s="14" t="s">
        <v>307</v>
      </c>
      <c r="D89" s="101" t="s">
        <v>375</v>
      </c>
      <c r="E89" s="13">
        <v>1</v>
      </c>
      <c r="G89" s="124">
        <f>SUM(E89:F89)</f>
        <v>1</v>
      </c>
    </row>
    <row r="90" spans="1:9" ht="15.75" customHeight="1">
      <c r="B90" t="s">
        <v>336</v>
      </c>
      <c r="C90" s="124" t="s">
        <v>307</v>
      </c>
      <c r="D90" t="s">
        <v>337</v>
      </c>
      <c r="E90" s="13">
        <v>1</v>
      </c>
      <c r="G90" s="124">
        <f>SUM(E90:F90)</f>
        <v>1</v>
      </c>
    </row>
    <row r="91" spans="1:9" ht="15.75" customHeight="1">
      <c r="B91" s="11" t="s">
        <v>376</v>
      </c>
      <c r="C91" s="14" t="s">
        <v>304</v>
      </c>
      <c r="D91" s="101">
        <v>896272</v>
      </c>
      <c r="E91" s="13">
        <v>1</v>
      </c>
      <c r="G91" s="124">
        <f>SUM(E91:F91)</f>
        <v>1</v>
      </c>
    </row>
    <row r="92" spans="1:9" ht="15.75" customHeight="1">
      <c r="B92" s="11" t="s">
        <v>377</v>
      </c>
      <c r="C92" s="124" t="s">
        <v>304</v>
      </c>
      <c r="D92" s="101">
        <v>493158</v>
      </c>
      <c r="E92" s="13">
        <v>4</v>
      </c>
      <c r="G92" s="124">
        <f>SUM(E92:F92)</f>
        <v>4</v>
      </c>
    </row>
    <row r="93" spans="1:9" ht="15.75" customHeight="1">
      <c r="B93" s="11" t="s">
        <v>378</v>
      </c>
      <c r="C93" s="124" t="s">
        <v>304</v>
      </c>
      <c r="D93" s="101">
        <v>150772</v>
      </c>
      <c r="E93" s="13">
        <v>1</v>
      </c>
      <c r="G93" s="124">
        <f>SUM(E93:F93)</f>
        <v>1</v>
      </c>
    </row>
    <row r="94" spans="1:9" ht="15.75" customHeight="1">
      <c r="A94" s="60"/>
      <c r="B94" s="60"/>
      <c r="C94" s="63"/>
      <c r="D94" s="103"/>
      <c r="E94" s="61"/>
      <c r="F94" s="62"/>
      <c r="G94" s="62"/>
      <c r="H94" s="140"/>
      <c r="I94" s="60"/>
    </row>
    <row r="95" spans="1:9" ht="15.75" customHeight="1">
      <c r="A95" s="124" t="s">
        <v>194</v>
      </c>
      <c r="B95" s="172" t="s">
        <v>306</v>
      </c>
      <c r="C95" s="14" t="s">
        <v>307</v>
      </c>
      <c r="D95" s="124" t="s">
        <v>308</v>
      </c>
      <c r="E95" s="13">
        <v>4</v>
      </c>
      <c r="G95" s="14">
        <f>SUM(E95:F95)</f>
        <v>4</v>
      </c>
      <c r="H95" s="154"/>
    </row>
    <row r="96" spans="1:9" ht="15.75" customHeight="1">
      <c r="A96" s="124"/>
      <c r="B96" s="14" t="s">
        <v>318</v>
      </c>
      <c r="C96" s="14" t="s">
        <v>304</v>
      </c>
      <c r="D96" s="172">
        <v>150787</v>
      </c>
      <c r="E96" s="13">
        <v>2</v>
      </c>
      <c r="G96" s="14">
        <f>SUM(E96:F96)</f>
        <v>2</v>
      </c>
      <c r="H96" s="154"/>
    </row>
    <row r="97" spans="1:9" ht="15.75" customHeight="1">
      <c r="A97" s="124"/>
      <c r="B97" s="14" t="s">
        <v>330</v>
      </c>
      <c r="C97" s="14" t="s">
        <v>304</v>
      </c>
      <c r="D97" s="172">
        <v>770309</v>
      </c>
      <c r="E97" s="13">
        <v>1</v>
      </c>
      <c r="G97" s="14">
        <f>SUM(E97:F97)</f>
        <v>1</v>
      </c>
      <c r="H97" s="154"/>
    </row>
    <row r="98" spans="1:9" ht="15.75" customHeight="1">
      <c r="A98" s="124"/>
      <c r="B98" s="14" t="s">
        <v>379</v>
      </c>
      <c r="C98" s="14" t="s">
        <v>304</v>
      </c>
      <c r="D98" s="172">
        <v>435915</v>
      </c>
      <c r="E98" s="13">
        <v>2</v>
      </c>
      <c r="G98" s="14">
        <f>SUM(E98:F98)</f>
        <v>2</v>
      </c>
      <c r="H98" s="154"/>
    </row>
    <row r="99" spans="1:9" ht="15.75" customHeight="1">
      <c r="A99" s="60"/>
      <c r="B99" s="60"/>
      <c r="C99" s="63"/>
      <c r="D99" s="103"/>
      <c r="E99" s="61"/>
      <c r="F99" s="62"/>
      <c r="G99" s="62"/>
      <c r="H99" s="140"/>
      <c r="I99" s="60"/>
    </row>
    <row r="100" spans="1:9" ht="15.75" customHeight="1">
      <c r="A100" s="14" t="s">
        <v>380</v>
      </c>
      <c r="B100" s="15" t="s">
        <v>368</v>
      </c>
      <c r="C100" s="14" t="s">
        <v>307</v>
      </c>
      <c r="D100" s="15" t="s">
        <v>308</v>
      </c>
      <c r="E100" s="44">
        <v>1</v>
      </c>
      <c r="F100" s="45"/>
      <c r="G100" s="14">
        <f>SUM(E100:F100)</f>
        <v>1</v>
      </c>
      <c r="H100" s="143"/>
    </row>
    <row r="101" spans="1:9" ht="15.75" customHeight="1">
      <c r="A101" s="36"/>
      <c r="B101" s="15" t="s">
        <v>310</v>
      </c>
      <c r="C101" s="155" t="s">
        <v>307</v>
      </c>
      <c r="D101" s="15" t="s">
        <v>311</v>
      </c>
      <c r="E101" s="44">
        <v>3</v>
      </c>
      <c r="F101" s="45"/>
      <c r="G101" s="14">
        <f>SUM(E101:F101)</f>
        <v>3</v>
      </c>
      <c r="H101" s="143"/>
    </row>
    <row r="102" spans="1:9" ht="15.75" customHeight="1">
      <c r="A102" s="36"/>
      <c r="B102" s="15" t="s">
        <v>381</v>
      </c>
      <c r="C102" s="155" t="s">
        <v>307</v>
      </c>
      <c r="D102" s="15" t="s">
        <v>311</v>
      </c>
      <c r="E102" s="44">
        <v>1</v>
      </c>
      <c r="F102" s="45"/>
      <c r="G102" s="14">
        <f>SUM(E102:F102)</f>
        <v>1</v>
      </c>
      <c r="H102" s="143"/>
    </row>
    <row r="103" spans="1:9" ht="15.75" customHeight="1">
      <c r="A103" s="60"/>
      <c r="B103" s="60"/>
      <c r="C103" s="63"/>
      <c r="D103" s="103"/>
      <c r="E103" s="61"/>
      <c r="F103" s="62"/>
      <c r="G103" s="62"/>
      <c r="H103" s="140"/>
      <c r="I103" t="s">
        <v>382</v>
      </c>
    </row>
    <row r="104" spans="1:9" ht="15.75" customHeight="1">
      <c r="A104" s="14" t="s">
        <v>383</v>
      </c>
      <c r="B104" s="15" t="s">
        <v>384</v>
      </c>
      <c r="C104" s="14" t="s">
        <v>304</v>
      </c>
      <c r="D104" s="15">
        <v>730013</v>
      </c>
      <c r="E104" s="13">
        <v>2</v>
      </c>
      <c r="G104" s="14">
        <f>SUM(E104:F104)</f>
        <v>2</v>
      </c>
      <c r="H104" s="143"/>
      <c r="I104" t="s">
        <v>385</v>
      </c>
    </row>
    <row r="105" spans="1:9" ht="15.75" customHeight="1">
      <c r="A105" s="36"/>
      <c r="B105" s="155" t="s">
        <v>352</v>
      </c>
      <c r="C105" s="14" t="s">
        <v>307</v>
      </c>
      <c r="D105" s="155" t="s">
        <v>353</v>
      </c>
      <c r="E105" s="13">
        <v>1</v>
      </c>
      <c r="G105" s="14">
        <f>SUM(E105:F105)</f>
        <v>1</v>
      </c>
      <c r="H105" s="14">
        <v>1</v>
      </c>
      <c r="I105" s="14" t="s">
        <v>386</v>
      </c>
    </row>
    <row r="106" spans="1:9" ht="15.75" customHeight="1">
      <c r="A106" s="36"/>
      <c r="B106" s="15" t="s">
        <v>387</v>
      </c>
      <c r="C106" s="155" t="s">
        <v>307</v>
      </c>
      <c r="D106" s="15" t="s">
        <v>388</v>
      </c>
      <c r="F106" s="10">
        <v>3</v>
      </c>
      <c r="G106" s="124">
        <f>SUM(E106:F106)</f>
        <v>3</v>
      </c>
      <c r="H106" s="174"/>
      <c r="I106" s="124" t="s">
        <v>389</v>
      </c>
    </row>
    <row r="107" spans="1:9" ht="15.75" customHeight="1">
      <c r="A107" s="36"/>
      <c r="B107" s="15" t="s">
        <v>390</v>
      </c>
      <c r="C107" s="155" t="s">
        <v>307</v>
      </c>
      <c r="D107" s="15" t="s">
        <v>391</v>
      </c>
      <c r="F107" s="10">
        <v>1</v>
      </c>
      <c r="G107" s="124">
        <f>SUM(E107:F107)</f>
        <v>1</v>
      </c>
      <c r="H107" s="174"/>
      <c r="I107" s="124" t="s">
        <v>389</v>
      </c>
    </row>
    <row r="108" spans="1:9" ht="15.75" customHeight="1">
      <c r="A108" s="36"/>
      <c r="B108" s="155" t="s">
        <v>392</v>
      </c>
      <c r="C108" s="155" t="s">
        <v>307</v>
      </c>
      <c r="D108" s="155" t="s">
        <v>393</v>
      </c>
      <c r="E108" s="13">
        <v>1</v>
      </c>
      <c r="G108" s="124">
        <f>SUM(E108:F108)</f>
        <v>1</v>
      </c>
      <c r="H108" s="174">
        <v>1</v>
      </c>
      <c r="I108" s="124" t="s">
        <v>394</v>
      </c>
    </row>
    <row r="109" spans="1:9" ht="15.75" customHeight="1">
      <c r="B109" s="64"/>
      <c r="C109" s="63"/>
      <c r="D109" s="103"/>
      <c r="E109" s="61"/>
      <c r="F109" s="62"/>
      <c r="G109" s="62"/>
      <c r="H109" s="62"/>
      <c r="I109" t="s">
        <v>395</v>
      </c>
    </row>
    <row r="110" spans="1:9" ht="15.75" customHeight="1">
      <c r="A110" s="14" t="s">
        <v>268</v>
      </c>
      <c r="B110" s="155" t="s">
        <v>392</v>
      </c>
      <c r="C110" s="155" t="s">
        <v>307</v>
      </c>
      <c r="D110" s="155" t="s">
        <v>393</v>
      </c>
      <c r="F110" s="10">
        <v>1</v>
      </c>
      <c r="G110" s="124">
        <f>SUM(E110:F110)</f>
        <v>1</v>
      </c>
      <c r="H110" s="154"/>
      <c r="I110" s="14" t="s">
        <v>396</v>
      </c>
    </row>
    <row r="111" spans="1:9" ht="15.75" customHeight="1">
      <c r="A111" s="36"/>
      <c r="B111" s="15" t="s">
        <v>397</v>
      </c>
      <c r="C111" s="155" t="s">
        <v>304</v>
      </c>
      <c r="D111" s="15">
        <v>175918</v>
      </c>
      <c r="E111" s="13">
        <v>1</v>
      </c>
      <c r="G111" s="124">
        <f>SUM(E111:F111)</f>
        <v>1</v>
      </c>
    </row>
    <row r="112" spans="1:9" ht="15.75" customHeight="1">
      <c r="A112" s="36"/>
      <c r="B112" s="15" t="s">
        <v>398</v>
      </c>
      <c r="C112" s="155" t="s">
        <v>304</v>
      </c>
      <c r="D112" s="15">
        <v>75397</v>
      </c>
      <c r="E112" s="13">
        <v>2</v>
      </c>
      <c r="G112" s="124">
        <f>SUM(E112:F112)</f>
        <v>2</v>
      </c>
    </row>
    <row r="113" spans="1:9" ht="15.75" customHeight="1">
      <c r="A113" s="36"/>
      <c r="B113" s="15" t="s">
        <v>399</v>
      </c>
      <c r="C113" s="155" t="s">
        <v>307</v>
      </c>
      <c r="D113" s="15" t="s">
        <v>400</v>
      </c>
      <c r="F113" s="10">
        <v>2</v>
      </c>
      <c r="G113" s="124">
        <f>SUM(E113:F113)</f>
        <v>2</v>
      </c>
      <c r="I113" s="11" t="s">
        <v>389</v>
      </c>
    </row>
    <row r="114" spans="1:9" ht="15.75" customHeight="1">
      <c r="A114" s="36"/>
      <c r="B114" s="15" t="s">
        <v>401</v>
      </c>
      <c r="C114" s="155" t="s">
        <v>304</v>
      </c>
      <c r="D114" s="15">
        <v>140823</v>
      </c>
      <c r="E114" s="13">
        <v>1</v>
      </c>
      <c r="G114" s="124">
        <f>SUM(E114:F114)</f>
        <v>1</v>
      </c>
    </row>
    <row r="115" spans="1:9" ht="15.75" customHeight="1">
      <c r="A115" s="36"/>
      <c r="B115" s="15" t="s">
        <v>366</v>
      </c>
      <c r="C115" s="155" t="s">
        <v>307</v>
      </c>
      <c r="D115" s="15" t="s">
        <v>367</v>
      </c>
      <c r="E115" s="13">
        <v>1</v>
      </c>
      <c r="G115" s="124">
        <f>SUM(E115:F115)</f>
        <v>1</v>
      </c>
    </row>
    <row r="116" spans="1:9" ht="15.75" customHeight="1">
      <c r="A116" s="60"/>
      <c r="B116" s="60"/>
      <c r="C116" s="63"/>
      <c r="D116" s="103"/>
      <c r="E116" s="61"/>
      <c r="F116" s="62"/>
      <c r="G116" s="62"/>
      <c r="H116" s="140"/>
      <c r="I116" s="60"/>
    </row>
    <row r="117" spans="1:9" ht="15.75" customHeight="1">
      <c r="A117" s="14" t="s">
        <v>156</v>
      </c>
      <c r="B117" s="15" t="s">
        <v>402</v>
      </c>
      <c r="C117" s="124" t="s">
        <v>304</v>
      </c>
      <c r="D117" s="15">
        <v>249759</v>
      </c>
      <c r="E117" s="13">
        <v>2</v>
      </c>
      <c r="G117" s="124">
        <f>SUM(E117:F117)</f>
        <v>2</v>
      </c>
    </row>
    <row r="118" spans="1:9" ht="15.75" customHeight="1">
      <c r="B118" s="15" t="s">
        <v>403</v>
      </c>
      <c r="C118" s="124" t="s">
        <v>304</v>
      </c>
      <c r="D118" s="15">
        <v>337286</v>
      </c>
      <c r="E118" s="13">
        <v>1</v>
      </c>
      <c r="G118" s="124">
        <f>SUM(E118:F118)</f>
        <v>1</v>
      </c>
    </row>
    <row r="119" spans="1:9" ht="15.75" customHeight="1">
      <c r="B119" s="15" t="s">
        <v>404</v>
      </c>
      <c r="C119" s="155" t="s">
        <v>307</v>
      </c>
      <c r="D119" s="15" t="s">
        <v>400</v>
      </c>
      <c r="F119" s="10">
        <v>1</v>
      </c>
      <c r="G119" s="124">
        <f>SUM(E119:F119)</f>
        <v>1</v>
      </c>
      <c r="I119" t="s">
        <v>405</v>
      </c>
    </row>
    <row r="120" spans="1:9" ht="15.75" customHeight="1">
      <c r="B120" s="15" t="s">
        <v>406</v>
      </c>
      <c r="C120" s="155" t="s">
        <v>304</v>
      </c>
      <c r="D120" s="15">
        <v>1090496</v>
      </c>
      <c r="E120" s="13">
        <v>1</v>
      </c>
      <c r="G120" s="124">
        <f>SUM(E120:F120)</f>
        <v>1</v>
      </c>
    </row>
    <row r="121" spans="1:9" ht="15.75" customHeight="1">
      <c r="B121" s="15" t="s">
        <v>407</v>
      </c>
      <c r="C121" s="124" t="s">
        <v>304</v>
      </c>
      <c r="D121" s="15">
        <v>358826</v>
      </c>
      <c r="E121" s="13">
        <v>1</v>
      </c>
      <c r="G121" s="124">
        <f>SUM(E121:F121)</f>
        <v>1</v>
      </c>
    </row>
    <row r="122" spans="1:9" ht="15.75" customHeight="1">
      <c r="B122" s="15" t="s">
        <v>408</v>
      </c>
      <c r="C122" s="124" t="s">
        <v>304</v>
      </c>
      <c r="D122" s="15">
        <v>474506</v>
      </c>
      <c r="E122" s="13">
        <v>1</v>
      </c>
      <c r="G122" s="124">
        <f>SUM(E122:F122)</f>
        <v>1</v>
      </c>
    </row>
    <row r="123" spans="1:9" ht="15.75" customHeight="1">
      <c r="B123" s="15" t="s">
        <v>409</v>
      </c>
      <c r="C123" s="124" t="s">
        <v>304</v>
      </c>
      <c r="D123" s="15">
        <v>1038312</v>
      </c>
      <c r="E123" s="13">
        <v>1</v>
      </c>
      <c r="G123" s="124">
        <f>SUM(E123:F123)</f>
        <v>1</v>
      </c>
    </row>
    <row r="124" spans="1:9" ht="15.75" customHeight="1">
      <c r="B124" s="15" t="s">
        <v>315</v>
      </c>
      <c r="C124" s="155" t="s">
        <v>307</v>
      </c>
      <c r="D124" s="15" t="s">
        <v>316</v>
      </c>
      <c r="E124" s="13">
        <v>1</v>
      </c>
      <c r="G124" s="124">
        <f>SUM(E124:F124)</f>
        <v>1</v>
      </c>
    </row>
    <row r="125" spans="1:9" ht="15.75" customHeight="1">
      <c r="B125" s="15" t="s">
        <v>410</v>
      </c>
      <c r="C125" s="124" t="s">
        <v>304</v>
      </c>
      <c r="D125" s="15">
        <v>5284557</v>
      </c>
      <c r="E125" s="13">
        <v>1</v>
      </c>
      <c r="G125" s="124">
        <f>SUM(E125:F125)</f>
        <v>1</v>
      </c>
    </row>
    <row r="126" spans="1:9" ht="15.75" customHeight="1">
      <c r="A126" s="60"/>
      <c r="B126" s="60"/>
      <c r="C126" s="63"/>
      <c r="D126" s="103"/>
      <c r="E126" s="61"/>
      <c r="F126" s="62"/>
      <c r="G126" s="62"/>
      <c r="H126" s="140"/>
      <c r="I126" s="60"/>
    </row>
    <row r="127" spans="1:9" ht="15.75" customHeight="1">
      <c r="A127" t="s">
        <v>159</v>
      </c>
      <c r="B127" s="15" t="s">
        <v>309</v>
      </c>
      <c r="C127" s="124" t="s">
        <v>304</v>
      </c>
      <c r="D127" s="15">
        <v>770315</v>
      </c>
      <c r="E127" s="13">
        <v>3</v>
      </c>
      <c r="F127" s="133"/>
      <c r="G127" s="124">
        <f>SUM(E127:F127)</f>
        <v>3</v>
      </c>
    </row>
    <row r="128" spans="1:9" ht="15.75" customHeight="1">
      <c r="B128" s="15" t="s">
        <v>411</v>
      </c>
      <c r="C128" s="124" t="s">
        <v>304</v>
      </c>
      <c r="D128" s="15">
        <v>594393</v>
      </c>
      <c r="E128" s="13">
        <v>1</v>
      </c>
      <c r="F128" s="133"/>
      <c r="G128" s="124">
        <f>SUM(E128:F128)</f>
        <v>1</v>
      </c>
    </row>
    <row r="129" spans="1:9" ht="15.75" customHeight="1">
      <c r="B129" s="155" t="s">
        <v>352</v>
      </c>
      <c r="C129" s="155" t="s">
        <v>307</v>
      </c>
      <c r="D129" s="155" t="s">
        <v>353</v>
      </c>
      <c r="E129" s="156"/>
      <c r="F129" s="10">
        <v>1</v>
      </c>
      <c r="G129" s="14">
        <f>SUM(E129:F129)</f>
        <v>1</v>
      </c>
      <c r="H129" s="124">
        <v>1</v>
      </c>
      <c r="I129" s="124" t="s">
        <v>412</v>
      </c>
    </row>
    <row r="130" spans="1:9" ht="15.75" customHeight="1">
      <c r="A130" s="60"/>
      <c r="B130" s="60"/>
      <c r="C130" s="63"/>
      <c r="D130" s="103"/>
      <c r="E130" s="61"/>
      <c r="F130" s="62"/>
      <c r="G130" s="62"/>
      <c r="H130" s="140"/>
      <c r="I130" s="60"/>
    </row>
    <row r="131" spans="1:9" ht="15.75" customHeight="1">
      <c r="A131" s="11" t="s">
        <v>160</v>
      </c>
      <c r="B131" s="15" t="s">
        <v>105</v>
      </c>
      <c r="C131" s="124" t="s">
        <v>304</v>
      </c>
      <c r="D131" s="15">
        <v>563166</v>
      </c>
      <c r="E131" s="13">
        <v>5</v>
      </c>
      <c r="F131" s="133"/>
      <c r="G131" s="124">
        <f>SUM(E131:F131)</f>
        <v>5</v>
      </c>
    </row>
    <row r="132" spans="1:9" ht="15.75" customHeight="1">
      <c r="A132" s="9"/>
      <c r="B132" s="15" t="s">
        <v>310</v>
      </c>
      <c r="C132" s="155" t="s">
        <v>307</v>
      </c>
      <c r="D132" s="15" t="s">
        <v>311</v>
      </c>
      <c r="E132" s="13">
        <v>1</v>
      </c>
      <c r="F132" s="133"/>
      <c r="G132" s="124">
        <f>SUM(E132:F132)</f>
        <v>1</v>
      </c>
    </row>
    <row r="133" spans="1:9" ht="15.75" customHeight="1">
      <c r="B133" s="15" t="s">
        <v>330</v>
      </c>
      <c r="C133" s="155" t="s">
        <v>304</v>
      </c>
      <c r="D133" s="15">
        <v>770309</v>
      </c>
      <c r="E133" s="13">
        <v>1</v>
      </c>
      <c r="F133" s="133"/>
      <c r="G133" s="124">
        <f>SUM(E133:F133)</f>
        <v>1</v>
      </c>
    </row>
    <row r="134" spans="1:9" ht="15.75" customHeight="1">
      <c r="B134" s="15" t="s">
        <v>413</v>
      </c>
      <c r="C134" s="155" t="s">
        <v>304</v>
      </c>
      <c r="D134" s="15">
        <v>252145</v>
      </c>
      <c r="E134" s="13">
        <v>1</v>
      </c>
      <c r="F134" s="133"/>
      <c r="G134" s="124">
        <f>SUM(E134:F134)</f>
        <v>1</v>
      </c>
    </row>
    <row r="135" spans="1:9" ht="15.75" customHeight="1">
      <c r="B135" s="15" t="s">
        <v>414</v>
      </c>
      <c r="C135" s="155" t="s">
        <v>304</v>
      </c>
      <c r="D135" s="15">
        <v>6383062</v>
      </c>
      <c r="F135" s="10">
        <v>1</v>
      </c>
      <c r="G135" s="124">
        <f>SUM(E135:F135)</f>
        <v>1</v>
      </c>
      <c r="I135" s="15" t="s">
        <v>415</v>
      </c>
    </row>
    <row r="136" spans="1:9" ht="15.75" customHeight="1">
      <c r="B136" s="15" t="s">
        <v>306</v>
      </c>
      <c r="C136" s="155" t="s">
        <v>307</v>
      </c>
      <c r="D136" s="15" t="s">
        <v>308</v>
      </c>
      <c r="E136" s="13">
        <v>1</v>
      </c>
      <c r="F136" s="133"/>
      <c r="G136" s="124">
        <f>SUM(E136:F136)</f>
        <v>1</v>
      </c>
    </row>
    <row r="137" spans="1:9" ht="15.75" customHeight="1">
      <c r="A137" s="60"/>
      <c r="B137" s="60"/>
      <c r="C137" s="63"/>
      <c r="D137" s="103"/>
      <c r="E137" s="61"/>
      <c r="F137" s="62"/>
      <c r="G137" s="62"/>
      <c r="H137" s="140"/>
      <c r="I137" s="60"/>
    </row>
    <row r="138" spans="1:9" ht="15.75" customHeight="1">
      <c r="A138" t="s">
        <v>416</v>
      </c>
      <c r="B138" s="15" t="s">
        <v>417</v>
      </c>
      <c r="C138" s="155" t="s">
        <v>304</v>
      </c>
      <c r="D138" s="15">
        <v>770315</v>
      </c>
      <c r="E138" s="13">
        <v>2</v>
      </c>
      <c r="F138" s="133"/>
      <c r="G138" s="124">
        <f>SUM(E138:F138)</f>
        <v>2</v>
      </c>
    </row>
    <row r="139" spans="1:9" ht="15.75" customHeight="1">
      <c r="A139" s="60"/>
      <c r="B139" s="60"/>
      <c r="C139" s="63"/>
      <c r="D139" s="103"/>
      <c r="E139" s="61"/>
      <c r="F139" s="62"/>
      <c r="G139" s="62"/>
      <c r="H139" s="140"/>
      <c r="I139" s="60"/>
    </row>
    <row r="140" spans="1:9" ht="15.75" customHeight="1">
      <c r="A140" t="s">
        <v>418</v>
      </c>
      <c r="B140" s="15" t="s">
        <v>419</v>
      </c>
      <c r="C140" s="124" t="s">
        <v>304</v>
      </c>
      <c r="D140" s="15">
        <v>481593</v>
      </c>
      <c r="E140" s="13">
        <v>1</v>
      </c>
      <c r="G140" s="124">
        <f>SUM(E140:F140)</f>
        <v>1</v>
      </c>
    </row>
    <row r="141" spans="1:9" ht="15.75" customHeight="1">
      <c r="B141" s="15" t="s">
        <v>306</v>
      </c>
      <c r="C141" s="124" t="s">
        <v>307</v>
      </c>
      <c r="D141" s="15" t="s">
        <v>308</v>
      </c>
      <c r="E141" s="13">
        <v>1</v>
      </c>
      <c r="G141" s="124">
        <f>SUM(E141:F141)</f>
        <v>1</v>
      </c>
    </row>
    <row r="142" spans="1:9" ht="15.75" customHeight="1">
      <c r="B142" s="155" t="s">
        <v>420</v>
      </c>
      <c r="C142" s="14" t="s">
        <v>307</v>
      </c>
      <c r="D142" s="155" t="s">
        <v>353</v>
      </c>
      <c r="F142" s="10">
        <v>1</v>
      </c>
      <c r="G142" s="124">
        <f>SUM(E142:F142)</f>
        <v>1</v>
      </c>
      <c r="H142" s="124">
        <v>1</v>
      </c>
      <c r="I142" s="124" t="s">
        <v>412</v>
      </c>
    </row>
    <row r="143" spans="1:9" ht="15.75" customHeight="1">
      <c r="A143" s="60"/>
      <c r="B143" s="60"/>
      <c r="C143" s="63"/>
      <c r="D143" s="103"/>
      <c r="E143" s="61"/>
      <c r="F143" s="62"/>
      <c r="G143" s="62"/>
      <c r="H143" s="140"/>
      <c r="I143" s="60"/>
    </row>
    <row r="144" spans="1:9" ht="15.75" customHeight="1">
      <c r="A144" s="11" t="s">
        <v>421</v>
      </c>
      <c r="B144" s="15" t="s">
        <v>417</v>
      </c>
      <c r="C144" s="124" t="s">
        <v>304</v>
      </c>
      <c r="D144" s="15">
        <v>770315</v>
      </c>
      <c r="E144" s="13">
        <v>3</v>
      </c>
      <c r="G144" s="124">
        <f>SUM(E144:F144)</f>
        <v>3</v>
      </c>
      <c r="I144" t="s">
        <v>422</v>
      </c>
    </row>
    <row r="145" spans="1:9" ht="15.75" customHeight="1">
      <c r="B145" s="15" t="s">
        <v>419</v>
      </c>
      <c r="C145" s="124" t="s">
        <v>304</v>
      </c>
      <c r="D145" s="15">
        <v>481593</v>
      </c>
      <c r="E145" s="13">
        <v>1</v>
      </c>
      <c r="G145" s="124">
        <f>SUM(E145:F145)</f>
        <v>1</v>
      </c>
    </row>
    <row r="146" spans="1:9" ht="15.75" customHeight="1">
      <c r="B146" s="15" t="s">
        <v>423</v>
      </c>
      <c r="C146" s="124" t="s">
        <v>304</v>
      </c>
      <c r="D146" s="15">
        <v>3446185</v>
      </c>
      <c r="E146" s="13">
        <v>2</v>
      </c>
      <c r="G146" s="124">
        <f>SUM(E146:F146)</f>
        <v>2</v>
      </c>
    </row>
    <row r="147" spans="1:9" ht="15.75" customHeight="1">
      <c r="B147" s="15" t="s">
        <v>424</v>
      </c>
      <c r="C147" s="124" t="s">
        <v>304</v>
      </c>
      <c r="D147" s="15">
        <v>244265</v>
      </c>
      <c r="E147" s="13">
        <v>1</v>
      </c>
      <c r="G147" s="124">
        <f>SUM(E147:F147)</f>
        <v>1</v>
      </c>
    </row>
    <row r="148" spans="1:9" ht="15.75" customHeight="1">
      <c r="B148" s="15" t="s">
        <v>369</v>
      </c>
      <c r="C148" s="124" t="s">
        <v>307</v>
      </c>
      <c r="D148" s="15" t="s">
        <v>326</v>
      </c>
      <c r="E148" s="13">
        <v>2</v>
      </c>
      <c r="G148" s="124">
        <f>SUM(E148:F148)</f>
        <v>2</v>
      </c>
      <c r="H148">
        <v>2</v>
      </c>
      <c r="I148" t="s">
        <v>425</v>
      </c>
    </row>
    <row r="149" spans="1:9" ht="15.75" customHeight="1">
      <c r="B149" s="15" t="s">
        <v>426</v>
      </c>
      <c r="C149" s="124" t="s">
        <v>304</v>
      </c>
      <c r="D149" s="15">
        <v>821964</v>
      </c>
      <c r="E149" s="13">
        <v>3</v>
      </c>
      <c r="G149" s="124">
        <f>SUM(E149:F149)</f>
        <v>3</v>
      </c>
      <c r="I149" t="s">
        <v>427</v>
      </c>
    </row>
    <row r="150" spans="1:9" ht="15.75" customHeight="1">
      <c r="B150" s="15" t="s">
        <v>392</v>
      </c>
      <c r="C150" s="155" t="s">
        <v>307</v>
      </c>
      <c r="D150" s="15" t="s">
        <v>393</v>
      </c>
      <c r="F150" s="10">
        <v>5</v>
      </c>
      <c r="G150" s="124">
        <f>SUM(E150:F150)</f>
        <v>5</v>
      </c>
    </row>
    <row r="151" spans="1:9" ht="15.75" customHeight="1">
      <c r="B151" s="15" t="s">
        <v>428</v>
      </c>
      <c r="C151" s="124" t="s">
        <v>304</v>
      </c>
      <c r="D151" s="15">
        <v>821964</v>
      </c>
      <c r="E151" s="13">
        <v>1</v>
      </c>
      <c r="G151" s="124">
        <f>SUM(E151:F151)</f>
        <v>1</v>
      </c>
    </row>
    <row r="152" spans="1:9" ht="15.75" customHeight="1">
      <c r="B152" s="15" t="s">
        <v>429</v>
      </c>
      <c r="C152" s="124" t="s">
        <v>307</v>
      </c>
      <c r="D152" s="15" t="s">
        <v>430</v>
      </c>
      <c r="F152" s="10">
        <v>1</v>
      </c>
      <c r="G152" s="124">
        <f>SUM(E152:F152)</f>
        <v>1</v>
      </c>
      <c r="H152">
        <v>1</v>
      </c>
    </row>
    <row r="153" spans="1:9" ht="15.75" customHeight="1">
      <c r="B153" s="15" t="s">
        <v>330</v>
      </c>
      <c r="C153" s="124" t="s">
        <v>304</v>
      </c>
      <c r="D153" s="15">
        <v>770309</v>
      </c>
      <c r="E153" s="13">
        <v>1</v>
      </c>
      <c r="G153" s="124">
        <f>SUM(E153:F153)</f>
        <v>1</v>
      </c>
    </row>
    <row r="154" spans="1:9" ht="15.75" customHeight="1">
      <c r="B154" s="15" t="s">
        <v>431</v>
      </c>
      <c r="C154" s="124" t="s">
        <v>307</v>
      </c>
      <c r="D154" s="15" t="s">
        <v>432</v>
      </c>
      <c r="F154" s="10">
        <v>1</v>
      </c>
      <c r="G154" s="124">
        <f>SUM(E154:F154)</f>
        <v>1</v>
      </c>
      <c r="I154" t="s">
        <v>389</v>
      </c>
    </row>
    <row r="155" spans="1:9" ht="15.75" customHeight="1">
      <c r="A155" s="60"/>
      <c r="B155" s="60"/>
      <c r="C155" s="63"/>
      <c r="D155" s="103"/>
      <c r="E155" s="61"/>
      <c r="F155" s="62"/>
      <c r="G155" s="62"/>
      <c r="H155" s="62"/>
      <c r="I155" s="60" t="s">
        <v>433</v>
      </c>
    </row>
    <row r="156" spans="1:9" ht="15.75" customHeight="1">
      <c r="A156" s="112" t="s">
        <v>275</v>
      </c>
      <c r="B156" s="15" t="s">
        <v>434</v>
      </c>
      <c r="C156" s="124" t="s">
        <v>304</v>
      </c>
      <c r="D156" s="15">
        <v>722888</v>
      </c>
      <c r="E156" s="13">
        <v>13</v>
      </c>
      <c r="G156" s="124">
        <f>SUM(E156:F156)</f>
        <v>13</v>
      </c>
      <c r="I156" s="11" t="s">
        <v>435</v>
      </c>
    </row>
    <row r="157" spans="1:9" ht="15.75" customHeight="1">
      <c r="B157" s="15" t="s">
        <v>315</v>
      </c>
      <c r="C157" s="155" t="s">
        <v>307</v>
      </c>
      <c r="D157" s="15" t="s">
        <v>316</v>
      </c>
      <c r="E157" s="13">
        <v>1</v>
      </c>
      <c r="G157" s="124">
        <f>SUM(E157:F157)</f>
        <v>1</v>
      </c>
      <c r="H157">
        <v>1</v>
      </c>
      <c r="I157" s="11" t="s">
        <v>436</v>
      </c>
    </row>
    <row r="158" spans="1:9" ht="15.75" customHeight="1">
      <c r="B158" s="15" t="s">
        <v>310</v>
      </c>
      <c r="C158" s="124" t="s">
        <v>307</v>
      </c>
      <c r="D158" s="15" t="s">
        <v>311</v>
      </c>
      <c r="E158" s="13">
        <v>1</v>
      </c>
      <c r="G158" s="124">
        <f>SUM(E158:F158)</f>
        <v>1</v>
      </c>
    </row>
    <row r="159" spans="1:9" ht="15.75" customHeight="1">
      <c r="A159" s="11"/>
      <c r="B159" s="15" t="s">
        <v>369</v>
      </c>
      <c r="C159" s="124" t="s">
        <v>307</v>
      </c>
      <c r="D159" s="15" t="s">
        <v>326</v>
      </c>
      <c r="E159" s="13">
        <v>1</v>
      </c>
      <c r="G159" s="124">
        <f>SUM(E159:F159)</f>
        <v>1</v>
      </c>
      <c r="H159">
        <v>1</v>
      </c>
      <c r="I159" s="11" t="s">
        <v>437</v>
      </c>
    </row>
    <row r="160" spans="1:9" ht="15.75" customHeight="1">
      <c r="B160" s="15" t="s">
        <v>61</v>
      </c>
      <c r="C160" s="124" t="s">
        <v>304</v>
      </c>
      <c r="D160" s="15">
        <v>490099</v>
      </c>
      <c r="E160" s="13">
        <v>7</v>
      </c>
      <c r="G160" s="124">
        <f>SUM(E160:F160)</f>
        <v>7</v>
      </c>
    </row>
    <row r="161" spans="1:9" ht="15.75" customHeight="1">
      <c r="A161" s="11"/>
      <c r="B161" s="15" t="s">
        <v>438</v>
      </c>
      <c r="C161" s="124" t="s">
        <v>307</v>
      </c>
      <c r="D161" s="15" t="s">
        <v>439</v>
      </c>
      <c r="F161" s="10">
        <v>1</v>
      </c>
      <c r="G161" s="124">
        <f>SUM(E161:F161)</f>
        <v>1</v>
      </c>
      <c r="H161">
        <v>1</v>
      </c>
      <c r="I161" s="11" t="s">
        <v>440</v>
      </c>
    </row>
    <row r="162" spans="1:9" ht="15.75" customHeight="1">
      <c r="A162" s="11"/>
      <c r="B162" s="15" t="s">
        <v>441</v>
      </c>
      <c r="C162" s="124" t="s">
        <v>304</v>
      </c>
      <c r="D162" s="15">
        <v>5118044</v>
      </c>
      <c r="F162" s="10">
        <v>1</v>
      </c>
      <c r="G162" s="124">
        <f>SUM(E162:F162)</f>
        <v>1</v>
      </c>
      <c r="H162">
        <v>1</v>
      </c>
      <c r="I162" s="11" t="s">
        <v>442</v>
      </c>
    </row>
    <row r="163" spans="1:9" ht="15.75" customHeight="1">
      <c r="A163" s="11"/>
      <c r="B163" s="15" t="s">
        <v>443</v>
      </c>
      <c r="C163" s="124" t="s">
        <v>304</v>
      </c>
      <c r="D163" s="15">
        <v>5850236</v>
      </c>
      <c r="F163" s="10">
        <v>1</v>
      </c>
      <c r="G163" s="124">
        <f>SUM(E163:F163)</f>
        <v>1</v>
      </c>
      <c r="H163">
        <v>1</v>
      </c>
      <c r="I163" s="11" t="s">
        <v>444</v>
      </c>
    </row>
    <row r="164" spans="1:9" ht="15.75" customHeight="1">
      <c r="B164" s="15" t="s">
        <v>445</v>
      </c>
      <c r="C164" s="124" t="s">
        <v>304</v>
      </c>
      <c r="D164" s="15">
        <v>748149</v>
      </c>
      <c r="E164" s="13">
        <v>1</v>
      </c>
      <c r="G164" s="124">
        <f>SUM(E164:F164)</f>
        <v>1</v>
      </c>
    </row>
    <row r="165" spans="1:9" ht="15.75" customHeight="1">
      <c r="B165" s="15" t="s">
        <v>446</v>
      </c>
      <c r="C165" s="124" t="s">
        <v>304</v>
      </c>
      <c r="D165" s="15">
        <v>994427</v>
      </c>
      <c r="E165" s="13">
        <v>1</v>
      </c>
      <c r="G165" s="124">
        <f>SUM(E165:F165)</f>
        <v>1</v>
      </c>
    </row>
    <row r="166" spans="1:9" ht="15.75" customHeight="1">
      <c r="A166" s="11"/>
      <c r="B166" s="15" t="s">
        <v>447</v>
      </c>
      <c r="C166" s="124" t="s">
        <v>304</v>
      </c>
      <c r="D166" s="15">
        <v>4472494</v>
      </c>
      <c r="F166" s="10">
        <v>1</v>
      </c>
      <c r="G166" s="124">
        <f>SUM(E166:F166)</f>
        <v>1</v>
      </c>
      <c r="H166">
        <v>1</v>
      </c>
      <c r="I166" s="11" t="s">
        <v>448</v>
      </c>
    </row>
    <row r="167" spans="1:9" ht="15.75" customHeight="1">
      <c r="A167" s="11"/>
      <c r="B167" s="15" t="s">
        <v>449</v>
      </c>
      <c r="C167" s="124" t="s">
        <v>304</v>
      </c>
      <c r="D167" s="15">
        <v>4469314</v>
      </c>
      <c r="F167" s="10">
        <v>1</v>
      </c>
      <c r="G167" s="124">
        <f>SUM(E167:F167)</f>
        <v>1</v>
      </c>
      <c r="H167">
        <v>1</v>
      </c>
      <c r="I167" s="11" t="s">
        <v>450</v>
      </c>
    </row>
    <row r="168" spans="1:9" ht="15.75" customHeight="1">
      <c r="A168" s="11"/>
      <c r="B168" s="15" t="s">
        <v>451</v>
      </c>
      <c r="C168" s="124" t="s">
        <v>304</v>
      </c>
      <c r="D168" s="15">
        <v>5064959</v>
      </c>
      <c r="F168" s="10">
        <v>1</v>
      </c>
      <c r="G168" s="124">
        <f>SUM(E168:F168)</f>
        <v>1</v>
      </c>
      <c r="H168">
        <v>1</v>
      </c>
      <c r="I168" s="11" t="s">
        <v>452</v>
      </c>
    </row>
    <row r="169" spans="1:9" ht="15.75" customHeight="1">
      <c r="B169" s="15" t="s">
        <v>453</v>
      </c>
      <c r="C169" s="124" t="s">
        <v>304</v>
      </c>
      <c r="D169" s="15">
        <v>6267320</v>
      </c>
      <c r="E169" s="13">
        <v>1</v>
      </c>
      <c r="G169" s="124">
        <f>SUM(E169:F169)</f>
        <v>1</v>
      </c>
    </row>
    <row r="170" spans="1:9" ht="15.75" customHeight="1">
      <c r="A170" s="11"/>
      <c r="B170" s="15" t="s">
        <v>454</v>
      </c>
      <c r="C170" s="124" t="s">
        <v>304</v>
      </c>
      <c r="D170" s="15">
        <v>748147</v>
      </c>
      <c r="F170" s="10">
        <v>1</v>
      </c>
      <c r="G170" s="124">
        <f>SUM(E170:F170)</f>
        <v>1</v>
      </c>
      <c r="H170">
        <v>1</v>
      </c>
      <c r="I170" s="11" t="s">
        <v>455</v>
      </c>
    </row>
    <row r="171" spans="1:9" ht="15.75" customHeight="1">
      <c r="A171" s="11"/>
      <c r="B171" s="15" t="s">
        <v>456</v>
      </c>
      <c r="C171" s="124" t="s">
        <v>304</v>
      </c>
      <c r="D171" s="15">
        <v>3025131</v>
      </c>
      <c r="F171" s="10">
        <v>1</v>
      </c>
      <c r="G171" s="124">
        <f>SUM(E171:F171)</f>
        <v>1</v>
      </c>
      <c r="H171">
        <v>1</v>
      </c>
      <c r="I171" s="11" t="s">
        <v>457</v>
      </c>
    </row>
    <row r="172" spans="1:9" ht="15.75" customHeight="1">
      <c r="B172" s="15" t="s">
        <v>458</v>
      </c>
      <c r="C172" s="124" t="s">
        <v>304</v>
      </c>
      <c r="D172" s="15">
        <v>685366</v>
      </c>
      <c r="E172" s="13">
        <v>2</v>
      </c>
      <c r="G172" s="124">
        <f>SUM(E172:F172)</f>
        <v>2</v>
      </c>
    </row>
    <row r="173" spans="1:9" ht="15.75" customHeight="1">
      <c r="B173" s="15" t="s">
        <v>459</v>
      </c>
      <c r="C173" s="124" t="s">
        <v>304</v>
      </c>
      <c r="D173" s="15">
        <v>269678</v>
      </c>
      <c r="E173" s="13">
        <v>2</v>
      </c>
      <c r="G173" s="124">
        <f>SUM(E173:F173)</f>
        <v>2</v>
      </c>
      <c r="H173"/>
      <c r="I173" t="s">
        <v>460</v>
      </c>
    </row>
    <row r="174" spans="1:9" ht="15.75" customHeight="1">
      <c r="A174" s="60"/>
      <c r="B174" s="60"/>
      <c r="C174" s="186"/>
      <c r="D174" s="103"/>
      <c r="E174" s="61"/>
      <c r="F174" s="61"/>
      <c r="G174" s="61"/>
      <c r="H174" s="61"/>
      <c r="I174" t="s">
        <v>461</v>
      </c>
    </row>
    <row r="175" spans="1:9" ht="15.75" customHeight="1">
      <c r="A175" s="112" t="s">
        <v>462</v>
      </c>
      <c r="B175" s="15" t="s">
        <v>424</v>
      </c>
      <c r="C175" s="124" t="s">
        <v>304</v>
      </c>
      <c r="D175" s="15">
        <v>244265</v>
      </c>
      <c r="E175" s="13">
        <v>1</v>
      </c>
      <c r="G175" s="124">
        <f>SUM(E175:F175)</f>
        <v>1</v>
      </c>
    </row>
    <row r="176" spans="1:9" ht="15.75" customHeight="1">
      <c r="B176" s="15" t="s">
        <v>434</v>
      </c>
      <c r="C176" s="124" t="s">
        <v>304</v>
      </c>
      <c r="D176" s="15">
        <v>722888</v>
      </c>
      <c r="E176" s="13">
        <v>6</v>
      </c>
      <c r="G176" s="124">
        <f>SUM(E176:F176)</f>
        <v>6</v>
      </c>
    </row>
    <row r="177" spans="1:9" ht="15.75" customHeight="1">
      <c r="B177" s="15" t="s">
        <v>58</v>
      </c>
      <c r="C177" s="124" t="s">
        <v>304</v>
      </c>
      <c r="D177" s="15">
        <v>81461</v>
      </c>
      <c r="E177" s="13">
        <v>1</v>
      </c>
      <c r="G177" s="124">
        <f>SUM(E177:F177)</f>
        <v>1</v>
      </c>
    </row>
    <row r="178" spans="1:9" ht="15.75" customHeight="1">
      <c r="B178" s="15" t="s">
        <v>315</v>
      </c>
      <c r="C178" s="155" t="s">
        <v>307</v>
      </c>
      <c r="D178" s="15" t="s">
        <v>316</v>
      </c>
      <c r="F178" s="10">
        <v>1</v>
      </c>
      <c r="G178" s="124">
        <f>SUM(E178:F178)</f>
        <v>1</v>
      </c>
      <c r="I178" t="s">
        <v>463</v>
      </c>
    </row>
    <row r="179" spans="1:9" ht="15.75" customHeight="1">
      <c r="B179" s="15" t="s">
        <v>373</v>
      </c>
      <c r="C179" s="124" t="s">
        <v>307</v>
      </c>
      <c r="D179" s="15" t="s">
        <v>311</v>
      </c>
      <c r="E179" s="13">
        <v>1</v>
      </c>
      <c r="G179" s="124">
        <f>SUM(E179:F179)</f>
        <v>1</v>
      </c>
    </row>
    <row r="180" spans="1:9" ht="15.75" customHeight="1">
      <c r="B180" s="15" t="s">
        <v>330</v>
      </c>
      <c r="C180" s="124" t="s">
        <v>304</v>
      </c>
      <c r="D180" s="15">
        <v>770309</v>
      </c>
      <c r="E180" s="13">
        <v>1</v>
      </c>
      <c r="G180" s="124">
        <f>SUM(E180:F180)</f>
        <v>1</v>
      </c>
    </row>
    <row r="181" spans="1:9" ht="15.75" customHeight="1">
      <c r="B181" s="15" t="s">
        <v>369</v>
      </c>
      <c r="C181" s="124" t="s">
        <v>307</v>
      </c>
      <c r="D181" s="15" t="s">
        <v>326</v>
      </c>
      <c r="E181" s="13">
        <v>1</v>
      </c>
      <c r="G181" s="124">
        <f>SUM(E181:F181)</f>
        <v>1</v>
      </c>
      <c r="H181">
        <v>1</v>
      </c>
      <c r="I181" s="11" t="s">
        <v>436</v>
      </c>
    </row>
    <row r="182" spans="1:9" ht="15.75" customHeight="1">
      <c r="B182" s="15" t="s">
        <v>464</v>
      </c>
      <c r="C182" s="124" t="s">
        <v>307</v>
      </c>
      <c r="D182" s="15" t="s">
        <v>465</v>
      </c>
      <c r="E182" s="13">
        <v>2</v>
      </c>
      <c r="G182" s="124">
        <f>SUM(E182:F182)</f>
        <v>2</v>
      </c>
      <c r="I182" t="s">
        <v>466</v>
      </c>
    </row>
    <row r="183" spans="1:9" ht="15.75" customHeight="1">
      <c r="B183" s="15" t="s">
        <v>467</v>
      </c>
      <c r="C183" s="124" t="s">
        <v>307</v>
      </c>
      <c r="D183" s="15" t="s">
        <v>430</v>
      </c>
      <c r="F183" s="10">
        <v>1</v>
      </c>
      <c r="G183" s="124">
        <f>SUM(E183:F183)</f>
        <v>1</v>
      </c>
      <c r="I183" s="11" t="s">
        <v>463</v>
      </c>
    </row>
    <row r="184" spans="1:9" ht="15.75" customHeight="1">
      <c r="B184" s="15" t="s">
        <v>61</v>
      </c>
      <c r="C184" s="124" t="s">
        <v>304</v>
      </c>
      <c r="D184" s="15">
        <v>490099</v>
      </c>
      <c r="E184" s="13">
        <v>5</v>
      </c>
      <c r="G184" s="124">
        <f>SUM(E184:F184)</f>
        <v>5</v>
      </c>
    </row>
    <row r="185" spans="1:9" ht="15.75" customHeight="1">
      <c r="B185" s="155" t="s">
        <v>352</v>
      </c>
      <c r="C185" s="14" t="s">
        <v>307</v>
      </c>
      <c r="D185" s="155" t="s">
        <v>353</v>
      </c>
      <c r="E185" s="13">
        <v>1</v>
      </c>
      <c r="G185" s="14">
        <f>SUM(E185:F185)</f>
        <v>1</v>
      </c>
      <c r="H185" s="142">
        <v>1</v>
      </c>
      <c r="I185" s="14" t="s">
        <v>436</v>
      </c>
    </row>
    <row r="186" spans="1:9" ht="15.75" customHeight="1">
      <c r="B186" s="155" t="s">
        <v>468</v>
      </c>
      <c r="C186" s="14" t="s">
        <v>307</v>
      </c>
      <c r="D186" s="155" t="s">
        <v>465</v>
      </c>
      <c r="E186" s="13">
        <v>1</v>
      </c>
      <c r="G186" s="14">
        <f>SUM(E186:F186)</f>
        <v>1</v>
      </c>
      <c r="H186" s="142">
        <v>1</v>
      </c>
      <c r="I186" s="14" t="s">
        <v>436</v>
      </c>
    </row>
    <row r="187" spans="1:9" ht="15.75" customHeight="1">
      <c r="B187" s="15" t="s">
        <v>420</v>
      </c>
      <c r="C187" s="124" t="s">
        <v>307</v>
      </c>
      <c r="D187" s="15" t="s">
        <v>353</v>
      </c>
      <c r="F187" s="10">
        <v>1</v>
      </c>
      <c r="G187" s="124">
        <f>SUM(E187:F187)</f>
        <v>1</v>
      </c>
      <c r="I187" t="s">
        <v>463</v>
      </c>
    </row>
    <row r="188" spans="1:9" ht="15.75" customHeight="1">
      <c r="B188" s="15" t="s">
        <v>469</v>
      </c>
      <c r="C188" s="124" t="s">
        <v>307</v>
      </c>
      <c r="D188" s="15" t="s">
        <v>326</v>
      </c>
      <c r="E188" s="13">
        <v>1</v>
      </c>
      <c r="G188" s="124">
        <f>SUM(E188:F188)</f>
        <v>1</v>
      </c>
    </row>
    <row r="189" spans="1:9" ht="15.75" customHeight="1">
      <c r="A189" s="60"/>
      <c r="B189" s="60"/>
      <c r="C189" s="186"/>
      <c r="D189" s="103"/>
      <c r="E189" s="61"/>
      <c r="F189" s="61"/>
      <c r="G189" s="61"/>
      <c r="H189" s="61"/>
      <c r="I189" s="60"/>
    </row>
    <row r="190" spans="1:9" ht="15.75" customHeight="1">
      <c r="A190" s="11" t="s">
        <v>282</v>
      </c>
      <c r="B190" s="15" t="s">
        <v>330</v>
      </c>
      <c r="C190" s="124" t="s">
        <v>304</v>
      </c>
      <c r="D190" s="15">
        <v>770309</v>
      </c>
      <c r="E190" s="13">
        <v>1</v>
      </c>
      <c r="G190" s="124">
        <f>SUM(E190:F190)</f>
        <v>1</v>
      </c>
    </row>
    <row r="191" spans="1:9" ht="15.75" customHeight="1">
      <c r="B191" s="15" t="s">
        <v>470</v>
      </c>
      <c r="C191" s="124" t="s">
        <v>304</v>
      </c>
      <c r="D191" s="15">
        <v>5322824</v>
      </c>
      <c r="F191" s="10">
        <v>1</v>
      </c>
      <c r="G191" s="124">
        <f>SUM(E191:F191)</f>
        <v>1</v>
      </c>
    </row>
    <row r="192" spans="1:9" ht="15.75" customHeight="1">
      <c r="B192" s="15" t="s">
        <v>471</v>
      </c>
      <c r="C192" s="124" t="s">
        <v>304</v>
      </c>
      <c r="D192" s="15">
        <v>835327</v>
      </c>
      <c r="E192" s="13">
        <v>1</v>
      </c>
      <c r="G192" s="124">
        <f>SUM(E192:F192)</f>
        <v>1</v>
      </c>
    </row>
    <row r="193" spans="1:9" ht="15.75" customHeight="1">
      <c r="B193" s="15" t="s">
        <v>111</v>
      </c>
      <c r="C193" s="124" t="s">
        <v>304</v>
      </c>
      <c r="D193" s="15">
        <v>574724</v>
      </c>
      <c r="E193" s="13">
        <v>3</v>
      </c>
      <c r="G193" s="124">
        <f>SUM(E193:F193)</f>
        <v>3</v>
      </c>
    </row>
    <row r="194" spans="1:9" ht="15.75" customHeight="1">
      <c r="B194" s="15" t="s">
        <v>472</v>
      </c>
      <c r="C194" s="124" t="s">
        <v>304</v>
      </c>
      <c r="D194" s="15">
        <v>4019065</v>
      </c>
      <c r="F194" s="10">
        <v>1</v>
      </c>
      <c r="G194" s="124">
        <f>SUM(E194:F194)</f>
        <v>1</v>
      </c>
    </row>
    <row r="195" spans="1:9" ht="15.75" customHeight="1">
      <c r="B195" s="15" t="s">
        <v>473</v>
      </c>
      <c r="C195" s="155" t="s">
        <v>307</v>
      </c>
      <c r="D195" s="15" t="s">
        <v>326</v>
      </c>
      <c r="E195" s="13">
        <v>1</v>
      </c>
      <c r="G195" s="124">
        <f>SUM(E195:F195)</f>
        <v>1</v>
      </c>
      <c r="H195">
        <v>1</v>
      </c>
      <c r="I195" s="11" t="s">
        <v>474</v>
      </c>
    </row>
    <row r="196" spans="1:9" ht="15.75" customHeight="1">
      <c r="A196" s="60"/>
      <c r="B196" s="60"/>
      <c r="C196" s="186"/>
      <c r="D196" s="103"/>
      <c r="E196" s="61"/>
      <c r="F196" s="62"/>
      <c r="G196" s="62"/>
      <c r="H196" s="62"/>
      <c r="I196" s="60"/>
    </row>
    <row r="197" spans="1:9" ht="15.75" customHeight="1">
      <c r="A197" s="129" t="s">
        <v>285</v>
      </c>
      <c r="B197" s="15" t="s">
        <v>111</v>
      </c>
      <c r="C197" s="124" t="s">
        <v>304</v>
      </c>
      <c r="D197" s="15">
        <v>574724</v>
      </c>
      <c r="E197" s="13">
        <v>15</v>
      </c>
      <c r="G197" s="124">
        <f>SUM(E197:F197)</f>
        <v>15</v>
      </c>
    </row>
    <row r="198" spans="1:9" ht="15.75" customHeight="1">
      <c r="A198" s="105"/>
      <c r="B198" s="15" t="s">
        <v>309</v>
      </c>
      <c r="C198" s="124" t="s">
        <v>304</v>
      </c>
      <c r="D198" s="15">
        <v>770315</v>
      </c>
      <c r="E198" s="13">
        <v>8</v>
      </c>
      <c r="G198" s="124">
        <f>SUM(E198:F198)</f>
        <v>8</v>
      </c>
      <c r="I198" t="s">
        <v>475</v>
      </c>
    </row>
    <row r="199" spans="1:9" ht="15.75" customHeight="1">
      <c r="B199" s="15" t="s">
        <v>315</v>
      </c>
      <c r="C199" s="155" t="s">
        <v>307</v>
      </c>
      <c r="D199" s="15" t="s">
        <v>316</v>
      </c>
      <c r="E199" s="13">
        <v>8</v>
      </c>
      <c r="G199" s="124">
        <f>SUM(E199:F199)</f>
        <v>8</v>
      </c>
    </row>
    <row r="200" spans="1:9" ht="15.75" customHeight="1">
      <c r="B200" s="155" t="s">
        <v>352</v>
      </c>
      <c r="C200" s="14" t="s">
        <v>307</v>
      </c>
      <c r="D200" s="155" t="s">
        <v>353</v>
      </c>
      <c r="E200" s="13">
        <v>1</v>
      </c>
      <c r="G200" s="14">
        <f>SUM(E200:F200)</f>
        <v>1</v>
      </c>
      <c r="H200" s="142">
        <v>1</v>
      </c>
      <c r="I200" s="14" t="s">
        <v>476</v>
      </c>
    </row>
    <row r="201" spans="1:9" ht="15.75" customHeight="1">
      <c r="B201" s="15" t="s">
        <v>477</v>
      </c>
      <c r="C201" s="124" t="s">
        <v>304</v>
      </c>
      <c r="D201" s="15">
        <v>238434</v>
      </c>
      <c r="E201" s="13">
        <v>2</v>
      </c>
      <c r="G201" s="124">
        <f>SUM(E201:F201)</f>
        <v>2</v>
      </c>
    </row>
    <row r="202" spans="1:9" ht="15.75" customHeight="1">
      <c r="B202" s="15" t="s">
        <v>110</v>
      </c>
      <c r="C202" s="124" t="s">
        <v>304</v>
      </c>
      <c r="D202" s="15">
        <v>574724</v>
      </c>
      <c r="E202" s="13">
        <v>2</v>
      </c>
      <c r="G202" s="124">
        <f>SUM(E202:F202)</f>
        <v>2</v>
      </c>
    </row>
    <row r="203" spans="1:9" ht="15.75" customHeight="1">
      <c r="B203" s="15" t="s">
        <v>58</v>
      </c>
      <c r="C203" s="124" t="s">
        <v>304</v>
      </c>
      <c r="D203" s="15">
        <v>81461</v>
      </c>
      <c r="E203" s="13">
        <v>1</v>
      </c>
      <c r="G203" s="124">
        <f>SUM(E203:F203)</f>
        <v>1</v>
      </c>
    </row>
    <row r="204" spans="1:9" ht="15.75" customHeight="1">
      <c r="B204" s="15" t="s">
        <v>478</v>
      </c>
      <c r="C204" s="124" t="s">
        <v>307</v>
      </c>
      <c r="D204" s="15" t="s">
        <v>308</v>
      </c>
      <c r="E204" s="13">
        <v>1</v>
      </c>
      <c r="G204" s="124">
        <f>SUM(E204:F204)</f>
        <v>1</v>
      </c>
    </row>
    <row r="205" spans="1:9" ht="15.75" customHeight="1">
      <c r="B205" s="15" t="s">
        <v>469</v>
      </c>
      <c r="C205" s="124" t="s">
        <v>307</v>
      </c>
      <c r="D205" s="15" t="s">
        <v>326</v>
      </c>
      <c r="E205" s="13">
        <v>1</v>
      </c>
      <c r="G205" s="124">
        <f>SUM(E205:F205)</f>
        <v>1</v>
      </c>
      <c r="H205">
        <v>1</v>
      </c>
      <c r="I205" s="11" t="s">
        <v>479</v>
      </c>
    </row>
    <row r="206" spans="1:9" ht="15.75" customHeight="1">
      <c r="B206" s="15" t="s">
        <v>310</v>
      </c>
      <c r="C206" s="124" t="s">
        <v>307</v>
      </c>
      <c r="D206" s="15" t="s">
        <v>311</v>
      </c>
      <c r="E206" s="13">
        <v>1</v>
      </c>
      <c r="G206" s="124">
        <f>SUM(E206:F206)</f>
        <v>1</v>
      </c>
    </row>
    <row r="207" spans="1:9" ht="15.75" customHeight="1">
      <c r="A207" s="60"/>
      <c r="B207" s="60"/>
      <c r="C207" s="186"/>
      <c r="D207" s="103"/>
      <c r="E207" s="61"/>
      <c r="F207" s="62"/>
      <c r="G207" s="62"/>
      <c r="H207" s="62"/>
      <c r="I207" s="60"/>
    </row>
    <row r="208" spans="1:9" ht="15.75" customHeight="1">
      <c r="A208" t="s">
        <v>288</v>
      </c>
      <c r="B208" t="s">
        <v>309</v>
      </c>
      <c r="C208" s="124" t="s">
        <v>304</v>
      </c>
      <c r="D208" s="15">
        <v>770315</v>
      </c>
      <c r="E208" s="13">
        <v>7</v>
      </c>
      <c r="G208" s="124">
        <f>SUM(E208:F208)</f>
        <v>7</v>
      </c>
    </row>
    <row r="209" spans="1:9" ht="15.75" customHeight="1">
      <c r="B209" s="15" t="s">
        <v>354</v>
      </c>
      <c r="C209" s="124" t="s">
        <v>304</v>
      </c>
      <c r="D209" s="15">
        <v>490099</v>
      </c>
      <c r="E209" s="13">
        <v>1</v>
      </c>
      <c r="G209" s="124">
        <f>SUM(E209:F209)</f>
        <v>1</v>
      </c>
    </row>
    <row r="210" spans="1:9" ht="15.75" customHeight="1">
      <c r="B210" s="15" t="s">
        <v>364</v>
      </c>
      <c r="C210" s="155" t="s">
        <v>307</v>
      </c>
      <c r="D210" s="15" t="s">
        <v>365</v>
      </c>
      <c r="E210" s="13">
        <v>2</v>
      </c>
      <c r="G210" s="124">
        <f>SUM(E210:F210)</f>
        <v>2</v>
      </c>
    </row>
    <row r="211" spans="1:9" ht="15.75" customHeight="1">
      <c r="B211" s="15" t="s">
        <v>61</v>
      </c>
      <c r="C211" s="124" t="s">
        <v>304</v>
      </c>
      <c r="D211" s="15">
        <v>490099</v>
      </c>
      <c r="E211" s="13">
        <v>1</v>
      </c>
      <c r="G211" s="124">
        <f>SUM(E211:F211)</f>
        <v>1</v>
      </c>
    </row>
    <row r="212" spans="1:9" ht="15.75" customHeight="1">
      <c r="A212" s="60"/>
      <c r="B212" s="60"/>
      <c r="C212" s="186"/>
      <c r="D212" s="103"/>
      <c r="E212" s="61"/>
      <c r="F212" s="62"/>
      <c r="G212" s="62"/>
      <c r="H212" s="62"/>
      <c r="I212" s="60"/>
    </row>
    <row r="213" spans="1:9" ht="15.75" customHeight="1">
      <c r="A213" t="s">
        <v>480</v>
      </c>
      <c r="B213" s="15" t="s">
        <v>384</v>
      </c>
      <c r="C213" s="124" t="s">
        <v>304</v>
      </c>
      <c r="D213" s="15">
        <v>730013</v>
      </c>
      <c r="E213" s="13">
        <v>1</v>
      </c>
      <c r="G213" s="124">
        <f>SUM(E213:F213)</f>
        <v>1</v>
      </c>
    </row>
    <row r="214" spans="1:9" ht="15.75" customHeight="1">
      <c r="B214" s="15" t="s">
        <v>61</v>
      </c>
      <c r="C214" s="124" t="s">
        <v>304</v>
      </c>
      <c r="D214" s="15">
        <v>490099</v>
      </c>
      <c r="E214" s="13">
        <v>3</v>
      </c>
      <c r="G214" s="124">
        <f>SUM(E214:F214)</f>
        <v>3</v>
      </c>
    </row>
    <row r="215" spans="1:9" ht="15.75" customHeight="1">
      <c r="B215" s="15" t="s">
        <v>481</v>
      </c>
      <c r="C215" s="124" t="s">
        <v>304</v>
      </c>
      <c r="D215" s="15">
        <v>19017</v>
      </c>
      <c r="E215" s="13">
        <v>1</v>
      </c>
      <c r="G215" s="124">
        <f>SUM(E215:F215)</f>
        <v>1</v>
      </c>
    </row>
    <row r="216" spans="1:9" ht="15.75" customHeight="1">
      <c r="B216" s="15" t="s">
        <v>306</v>
      </c>
      <c r="C216" s="155" t="s">
        <v>307</v>
      </c>
      <c r="D216" s="15" t="s">
        <v>308</v>
      </c>
      <c r="E216" s="13">
        <v>3</v>
      </c>
      <c r="G216" s="124">
        <f>SUM(E216:F216)</f>
        <v>3</v>
      </c>
    </row>
    <row r="217" spans="1:9" ht="15.75" customHeight="1">
      <c r="A217" s="60"/>
      <c r="B217" s="60"/>
      <c r="C217" s="186"/>
      <c r="D217" s="103"/>
      <c r="E217" s="61"/>
      <c r="F217" s="62"/>
      <c r="G217" s="62"/>
      <c r="H217" s="62"/>
      <c r="I217" s="60"/>
    </row>
    <row r="218" spans="1:9" ht="15.75" customHeight="1">
      <c r="A218" s="11" t="s">
        <v>239</v>
      </c>
      <c r="B218" t="s">
        <v>482</v>
      </c>
      <c r="C218" s="124" t="s">
        <v>304</v>
      </c>
      <c r="D218">
        <v>3317</v>
      </c>
      <c r="E218" s="13">
        <v>2</v>
      </c>
      <c r="F218" s="133"/>
      <c r="G218" s="124">
        <f>SUM(E218:F218)</f>
        <v>2</v>
      </c>
      <c r="I218" s="11" t="s">
        <v>483</v>
      </c>
    </row>
    <row r="219" spans="1:9" ht="15.75" customHeight="1">
      <c r="B219" t="s">
        <v>306</v>
      </c>
      <c r="C219" s="124" t="s">
        <v>307</v>
      </c>
      <c r="D219" t="s">
        <v>308</v>
      </c>
      <c r="E219" s="13">
        <v>5</v>
      </c>
      <c r="F219" s="133"/>
      <c r="G219" s="124">
        <f>SUM(E219:F219)</f>
        <v>5</v>
      </c>
    </row>
    <row r="220" spans="1:9" ht="15.75" customHeight="1">
      <c r="B220" t="s">
        <v>140</v>
      </c>
      <c r="C220" s="124" t="s">
        <v>304</v>
      </c>
      <c r="D220">
        <v>153563</v>
      </c>
      <c r="E220" s="13">
        <v>5</v>
      </c>
      <c r="F220" s="133"/>
      <c r="G220" s="124">
        <f>SUM(E220:F220)</f>
        <v>5</v>
      </c>
    </row>
    <row r="221" spans="1:9" ht="15.75" customHeight="1">
      <c r="B221" t="s">
        <v>310</v>
      </c>
      <c r="C221" s="124" t="s">
        <v>307</v>
      </c>
      <c r="D221" t="s">
        <v>311</v>
      </c>
      <c r="E221" s="13">
        <v>9</v>
      </c>
      <c r="F221" s="133"/>
      <c r="G221" s="124">
        <f>SUM(E221:F221)</f>
        <v>9</v>
      </c>
    </row>
    <row r="222" spans="1:9" ht="15.75" customHeight="1">
      <c r="B222" t="s">
        <v>139</v>
      </c>
      <c r="C222" s="124" t="s">
        <v>304</v>
      </c>
      <c r="D222">
        <v>3308</v>
      </c>
      <c r="E222" s="13">
        <v>10</v>
      </c>
      <c r="F222" s="133"/>
      <c r="G222" s="124">
        <f>SUM(E222:F222)</f>
        <v>10</v>
      </c>
    </row>
    <row r="223" spans="1:9" ht="15.75" customHeight="1">
      <c r="B223" t="s">
        <v>309</v>
      </c>
      <c r="C223" s="124" t="s">
        <v>304</v>
      </c>
      <c r="D223">
        <v>770315</v>
      </c>
      <c r="E223" s="13">
        <v>2</v>
      </c>
      <c r="F223" s="133"/>
      <c r="G223" s="124">
        <f>SUM(E223:F223)</f>
        <v>2</v>
      </c>
    </row>
    <row r="224" spans="1:9" ht="15.75" customHeight="1">
      <c r="B224" t="s">
        <v>484</v>
      </c>
      <c r="C224" s="124" t="s">
        <v>307</v>
      </c>
      <c r="D224" t="s">
        <v>400</v>
      </c>
      <c r="E224" s="13">
        <v>1</v>
      </c>
      <c r="F224" s="133"/>
      <c r="G224" s="124">
        <f>SUM(E224:F224)</f>
        <v>1</v>
      </c>
    </row>
    <row r="225" spans="1:9" ht="15.75" customHeight="1">
      <c r="B225" t="s">
        <v>485</v>
      </c>
      <c r="C225" s="124" t="s">
        <v>307</v>
      </c>
      <c r="D225" t="s">
        <v>316</v>
      </c>
      <c r="E225" s="13">
        <v>1</v>
      </c>
      <c r="F225" s="133"/>
      <c r="G225" s="124">
        <f>SUM(E225:F225)</f>
        <v>1</v>
      </c>
    </row>
    <row r="226" spans="1:9" ht="15.75" customHeight="1">
      <c r="B226" t="s">
        <v>486</v>
      </c>
      <c r="C226" s="124" t="s">
        <v>304</v>
      </c>
      <c r="D226">
        <v>338023</v>
      </c>
      <c r="E226" s="13">
        <v>1</v>
      </c>
      <c r="F226" s="133"/>
      <c r="G226" s="124">
        <f>SUM(E226:F226)</f>
        <v>1</v>
      </c>
    </row>
    <row r="227" spans="1:9" ht="15.75" customHeight="1">
      <c r="B227" t="s">
        <v>487</v>
      </c>
      <c r="C227" s="124" t="s">
        <v>307</v>
      </c>
      <c r="D227" t="s">
        <v>391</v>
      </c>
      <c r="E227" s="13">
        <v>1</v>
      </c>
      <c r="F227" s="133"/>
      <c r="G227" s="124">
        <f>SUM(E227:F227)</f>
        <v>1</v>
      </c>
    </row>
    <row r="228" spans="1:9" ht="15.75" customHeight="1">
      <c r="A228" s="61"/>
      <c r="B228" s="61"/>
      <c r="C228" s="63"/>
      <c r="D228" s="61"/>
      <c r="E228" s="61"/>
      <c r="F228" s="62"/>
      <c r="G228" s="62"/>
      <c r="H228" s="62"/>
      <c r="I228" s="61"/>
    </row>
    <row r="229" spans="1:9" ht="15.75" customHeight="1">
      <c r="A229" s="11" t="s">
        <v>243</v>
      </c>
      <c r="B229" t="s">
        <v>139</v>
      </c>
      <c r="C229" s="124" t="s">
        <v>304</v>
      </c>
      <c r="D229">
        <v>3308</v>
      </c>
      <c r="E229" s="13">
        <v>9</v>
      </c>
      <c r="F229" s="133"/>
      <c r="G229" s="124">
        <f>SUM(E229:F229)</f>
        <v>9</v>
      </c>
      <c r="I229" s="11" t="s">
        <v>483</v>
      </c>
    </row>
    <row r="230" spans="1:9" ht="15.75" customHeight="1">
      <c r="B230" t="s">
        <v>309</v>
      </c>
      <c r="C230" s="124" t="s">
        <v>304</v>
      </c>
      <c r="D230">
        <v>770315</v>
      </c>
      <c r="E230" s="13">
        <v>1</v>
      </c>
      <c r="F230" s="133"/>
      <c r="G230" s="124">
        <f>SUM(E230:F230)</f>
        <v>1</v>
      </c>
    </row>
    <row r="231" spans="1:9" ht="15.75" customHeight="1">
      <c r="B231" t="s">
        <v>306</v>
      </c>
      <c r="C231" s="124" t="s">
        <v>307</v>
      </c>
      <c r="D231" t="s">
        <v>308</v>
      </c>
      <c r="E231" s="13">
        <v>2</v>
      </c>
      <c r="F231" s="133"/>
      <c r="G231" s="124">
        <f>SUM(E231:F231)</f>
        <v>2</v>
      </c>
    </row>
    <row r="232" spans="1:9" ht="15.75" customHeight="1">
      <c r="B232" t="s">
        <v>310</v>
      </c>
      <c r="C232" s="124" t="s">
        <v>307</v>
      </c>
      <c r="D232" t="s">
        <v>311</v>
      </c>
      <c r="E232" s="13">
        <v>2</v>
      </c>
      <c r="F232" s="133"/>
      <c r="G232" s="124">
        <f>SUM(E232:F232)</f>
        <v>2</v>
      </c>
    </row>
    <row r="233" spans="1:9" ht="15.75" customHeight="1">
      <c r="B233" t="s">
        <v>140</v>
      </c>
      <c r="C233" s="124" t="s">
        <v>304</v>
      </c>
      <c r="D233">
        <v>153563</v>
      </c>
      <c r="E233" s="13">
        <v>2</v>
      </c>
      <c r="F233" s="133"/>
      <c r="G233" s="124">
        <f>SUM(E233:F233)</f>
        <v>2</v>
      </c>
    </row>
    <row r="234" spans="1:9" ht="15.75" customHeight="1">
      <c r="B234" t="s">
        <v>488</v>
      </c>
      <c r="C234" s="124" t="s">
        <v>307</v>
      </c>
      <c r="D234" t="s">
        <v>489</v>
      </c>
      <c r="E234" s="13">
        <v>1</v>
      </c>
      <c r="F234" s="133"/>
      <c r="G234" s="124">
        <f>SUM(E234:F234)</f>
        <v>1</v>
      </c>
    </row>
    <row r="235" spans="1:9" ht="15.75" customHeight="1">
      <c r="B235" t="s">
        <v>490</v>
      </c>
      <c r="C235" s="124" t="s">
        <v>307</v>
      </c>
      <c r="D235" t="s">
        <v>388</v>
      </c>
      <c r="E235" s="13">
        <v>1</v>
      </c>
      <c r="F235" s="133"/>
      <c r="G235" s="124">
        <f>SUM(E235:F235)</f>
        <v>1</v>
      </c>
    </row>
    <row r="236" spans="1:9" ht="15.75" customHeight="1">
      <c r="A236" s="61"/>
      <c r="B236" s="61"/>
      <c r="C236" s="63"/>
      <c r="D236" s="61"/>
      <c r="E236" s="61"/>
      <c r="F236" s="62"/>
      <c r="G236" s="62"/>
      <c r="H236" s="144"/>
      <c r="I236" s="61"/>
    </row>
    <row r="237" spans="1:9" ht="15.75" customHeight="1">
      <c r="A237" t="s">
        <v>246</v>
      </c>
      <c r="B237" t="s">
        <v>306</v>
      </c>
      <c r="C237" s="124" t="s">
        <v>307</v>
      </c>
      <c r="D237" t="s">
        <v>308</v>
      </c>
      <c r="E237" s="13">
        <v>1</v>
      </c>
      <c r="G237" s="124">
        <f>SUM(E237:F237)</f>
        <v>1</v>
      </c>
      <c r="I237" s="11" t="s">
        <v>483</v>
      </c>
    </row>
    <row r="238" spans="1:9" ht="15.75" customHeight="1">
      <c r="B238" t="s">
        <v>61</v>
      </c>
      <c r="C238" s="124" t="s">
        <v>304</v>
      </c>
      <c r="D238">
        <v>490099</v>
      </c>
      <c r="E238" s="13">
        <v>1</v>
      </c>
      <c r="G238" s="124">
        <f>SUM(E238:F238)</f>
        <v>1</v>
      </c>
    </row>
    <row r="239" spans="1:9" ht="15.75" customHeight="1">
      <c r="B239" t="s">
        <v>481</v>
      </c>
      <c r="C239" s="124" t="s">
        <v>304</v>
      </c>
      <c r="D239">
        <v>19017</v>
      </c>
      <c r="E239" s="13">
        <v>2</v>
      </c>
      <c r="G239" s="124">
        <f>SUM(E239:F239)</f>
        <v>2</v>
      </c>
    </row>
    <row r="240" spans="1:9" ht="15.75" customHeight="1">
      <c r="B240" t="s">
        <v>491</v>
      </c>
      <c r="C240" s="124" t="s">
        <v>304</v>
      </c>
      <c r="D240">
        <v>50826</v>
      </c>
      <c r="E240" s="13">
        <v>2</v>
      </c>
      <c r="G240" s="124">
        <f>SUM(E240:F240)</f>
        <v>2</v>
      </c>
    </row>
    <row r="241" spans="1:16" ht="15.75" customHeight="1">
      <c r="A241" s="63"/>
      <c r="B241" s="61"/>
      <c r="C241" s="63"/>
      <c r="D241" s="61"/>
      <c r="E241" s="61"/>
      <c r="F241" s="62"/>
      <c r="G241" s="62"/>
      <c r="H241" s="144"/>
      <c r="I241" s="63" t="s">
        <v>492</v>
      </c>
    </row>
    <row r="242" spans="1:16" ht="15.75" customHeight="1">
      <c r="A242" t="s">
        <v>250</v>
      </c>
      <c r="B242" t="s">
        <v>369</v>
      </c>
      <c r="C242" s="124" t="s">
        <v>307</v>
      </c>
      <c r="D242" t="s">
        <v>326</v>
      </c>
      <c r="E242" s="13">
        <v>1</v>
      </c>
      <c r="G242" s="124">
        <f>SUM(E242:F242)</f>
        <v>1</v>
      </c>
      <c r="I242" s="11" t="s">
        <v>483</v>
      </c>
      <c r="J242" s="11"/>
      <c r="M242" s="13"/>
      <c r="N242" s="10"/>
    </row>
    <row r="243" spans="1:16" ht="15.75" customHeight="1">
      <c r="B243" t="s">
        <v>493</v>
      </c>
      <c r="C243" s="124" t="s">
        <v>304</v>
      </c>
      <c r="D243">
        <v>540228</v>
      </c>
      <c r="E243" s="13">
        <v>1</v>
      </c>
      <c r="G243" s="124">
        <f>SUM(E243:F243)</f>
        <v>1</v>
      </c>
      <c r="J243" s="11"/>
      <c r="L243" s="116"/>
      <c r="M243" s="13"/>
      <c r="N243" s="10"/>
    </row>
    <row r="244" spans="1:16" ht="15.75" customHeight="1">
      <c r="A244" s="11"/>
      <c r="B244" t="s">
        <v>491</v>
      </c>
      <c r="C244" s="124" t="s">
        <v>304</v>
      </c>
      <c r="D244">
        <v>50826</v>
      </c>
      <c r="E244" s="13">
        <v>4</v>
      </c>
      <c r="G244" s="124">
        <f>SUM(E244:F244)</f>
        <v>4</v>
      </c>
      <c r="I244" t="s">
        <v>494</v>
      </c>
      <c r="J244" s="11"/>
      <c r="K244" s="11"/>
      <c r="M244" s="13"/>
      <c r="N244" s="10"/>
    </row>
    <row r="245" spans="1:16" ht="15.75" customHeight="1">
      <c r="B245" t="s">
        <v>495</v>
      </c>
      <c r="C245" s="124" t="s">
        <v>304</v>
      </c>
      <c r="D245">
        <v>936014</v>
      </c>
      <c r="E245" s="13">
        <v>1</v>
      </c>
      <c r="G245" s="124">
        <f>SUM(E245:F245)</f>
        <v>1</v>
      </c>
      <c r="J245" s="116"/>
      <c r="K245" s="11"/>
      <c r="M245" s="13"/>
      <c r="N245" s="10"/>
    </row>
    <row r="246" spans="1:16" ht="15.75" customHeight="1">
      <c r="B246" t="s">
        <v>481</v>
      </c>
      <c r="C246" s="124" t="s">
        <v>304</v>
      </c>
      <c r="D246">
        <v>19017</v>
      </c>
      <c r="E246" s="13">
        <v>2</v>
      </c>
      <c r="G246" s="124">
        <f>SUM(E246:F246)</f>
        <v>2</v>
      </c>
      <c r="J246" s="11"/>
      <c r="K246" s="11"/>
      <c r="L246" s="116"/>
      <c r="M246" s="13"/>
      <c r="N246" s="10"/>
    </row>
    <row r="247" spans="1:16" ht="15.75" customHeight="1">
      <c r="B247" t="s">
        <v>467</v>
      </c>
      <c r="C247" s="124" t="s">
        <v>307</v>
      </c>
      <c r="D247" t="s">
        <v>430</v>
      </c>
      <c r="F247" s="10">
        <v>2</v>
      </c>
      <c r="G247" s="124">
        <f>SUM(E247:F247)</f>
        <v>2</v>
      </c>
      <c r="I247" s="11" t="s">
        <v>496</v>
      </c>
      <c r="J247" s="11"/>
      <c r="K247" s="11"/>
      <c r="L247" s="11"/>
      <c r="M247" s="13"/>
      <c r="N247" s="10"/>
      <c r="P247" s="11"/>
    </row>
    <row r="248" spans="1:16" ht="15.75" customHeight="1">
      <c r="A248" s="11"/>
      <c r="B248" s="11" t="s">
        <v>485</v>
      </c>
      <c r="C248" s="124" t="s">
        <v>307</v>
      </c>
      <c r="D248" t="s">
        <v>316</v>
      </c>
      <c r="E248" s="13">
        <v>1</v>
      </c>
      <c r="G248" s="124">
        <f>SUM(E248:F248)</f>
        <v>1</v>
      </c>
      <c r="H248">
        <v>1</v>
      </c>
      <c r="I248" s="11" t="s">
        <v>436</v>
      </c>
      <c r="J248" s="116"/>
      <c r="K248" s="11"/>
      <c r="L248" s="11"/>
      <c r="M248" s="13"/>
      <c r="N248" s="10"/>
      <c r="P248" s="11"/>
    </row>
    <row r="249" spans="1:16" ht="15.75" customHeight="1">
      <c r="A249" s="64"/>
      <c r="B249" s="61"/>
      <c r="C249" s="63"/>
      <c r="D249" s="61"/>
      <c r="E249" s="61"/>
      <c r="F249" s="62"/>
      <c r="G249" s="62"/>
      <c r="H249" s="62"/>
      <c r="I249" s="63" t="s">
        <v>497</v>
      </c>
    </row>
    <row r="250" spans="1:16" ht="15.75" customHeight="1">
      <c r="A250" s="112" t="s">
        <v>253</v>
      </c>
      <c r="B250" t="s">
        <v>351</v>
      </c>
      <c r="C250" s="124" t="s">
        <v>304</v>
      </c>
      <c r="D250">
        <v>864596</v>
      </c>
      <c r="E250" s="13">
        <v>1</v>
      </c>
      <c r="G250" s="124">
        <f>SUM(E250:F250)</f>
        <v>1</v>
      </c>
      <c r="I250" s="11" t="s">
        <v>483</v>
      </c>
    </row>
    <row r="251" spans="1:16" ht="15.75" customHeight="1">
      <c r="B251" t="s">
        <v>309</v>
      </c>
      <c r="C251" s="124" t="s">
        <v>304</v>
      </c>
      <c r="D251">
        <v>770315</v>
      </c>
      <c r="E251" s="13">
        <v>5</v>
      </c>
      <c r="G251" s="124">
        <f>SUM(E251:F251)</f>
        <v>5</v>
      </c>
    </row>
    <row r="252" spans="1:16" ht="15.75" customHeight="1">
      <c r="B252" t="s">
        <v>498</v>
      </c>
      <c r="C252" s="124" t="s">
        <v>304</v>
      </c>
      <c r="D252">
        <v>850936</v>
      </c>
      <c r="E252" s="13">
        <v>6</v>
      </c>
      <c r="G252" s="124">
        <f>SUM(E252:F252)</f>
        <v>6</v>
      </c>
    </row>
    <row r="253" spans="1:16" ht="15.75" customHeight="1">
      <c r="B253" t="s">
        <v>310</v>
      </c>
      <c r="C253" s="124" t="s">
        <v>307</v>
      </c>
      <c r="D253" t="s">
        <v>311</v>
      </c>
      <c r="E253" s="13">
        <v>1</v>
      </c>
      <c r="G253" s="124">
        <f>SUM(E253:F253)</f>
        <v>1</v>
      </c>
    </row>
    <row r="254" spans="1:16" ht="15.75" customHeight="1">
      <c r="B254" t="s">
        <v>499</v>
      </c>
      <c r="C254" s="124" t="s">
        <v>304</v>
      </c>
      <c r="D254">
        <v>850949</v>
      </c>
      <c r="E254" s="13">
        <v>2</v>
      </c>
      <c r="G254" s="124">
        <f>SUM(E254:F254)</f>
        <v>2</v>
      </c>
    </row>
    <row r="255" spans="1:16" ht="15.75" customHeight="1">
      <c r="B255" t="s">
        <v>500</v>
      </c>
      <c r="C255" s="124" t="s">
        <v>304</v>
      </c>
      <c r="D255">
        <v>5203547</v>
      </c>
      <c r="F255" s="10">
        <v>1</v>
      </c>
      <c r="G255" s="124">
        <f>SUM(E255:F255)</f>
        <v>1</v>
      </c>
      <c r="I255" t="s">
        <v>501</v>
      </c>
    </row>
    <row r="256" spans="1:16" ht="15.75" customHeight="1">
      <c r="B256" t="s">
        <v>502</v>
      </c>
      <c r="C256" s="124" t="s">
        <v>304</v>
      </c>
      <c r="D256">
        <v>864593</v>
      </c>
      <c r="E256" s="13">
        <v>1</v>
      </c>
      <c r="G256" s="124">
        <f>SUM(E256:F256)</f>
        <v>1</v>
      </c>
    </row>
    <row r="257" spans="1:9" ht="15.75" customHeight="1">
      <c r="A257" s="61"/>
      <c r="B257" s="61"/>
      <c r="C257" s="63"/>
      <c r="D257" s="61"/>
      <c r="E257" s="61"/>
      <c r="F257" s="62"/>
      <c r="G257" s="62"/>
      <c r="H257" s="144"/>
      <c r="I257" s="61"/>
    </row>
    <row r="258" spans="1:9" ht="15.75" customHeight="1">
      <c r="A258" s="114" t="s">
        <v>503</v>
      </c>
      <c r="B258" t="s">
        <v>498</v>
      </c>
      <c r="C258" s="124" t="s">
        <v>304</v>
      </c>
      <c r="D258">
        <v>850936</v>
      </c>
      <c r="E258" s="13">
        <v>3</v>
      </c>
      <c r="G258" s="124">
        <f>SUM(E258:F258)</f>
        <v>3</v>
      </c>
      <c r="I258" s="11" t="s">
        <v>483</v>
      </c>
    </row>
    <row r="259" spans="1:9" ht="15.75" customHeight="1">
      <c r="B259" t="s">
        <v>417</v>
      </c>
      <c r="C259" s="124" t="s">
        <v>304</v>
      </c>
      <c r="D259">
        <v>770315</v>
      </c>
      <c r="E259" s="13">
        <v>4</v>
      </c>
      <c r="G259" s="124">
        <f>SUM(E259:F259)</f>
        <v>4</v>
      </c>
    </row>
    <row r="260" spans="1:9" ht="15.75" customHeight="1">
      <c r="B260" t="s">
        <v>504</v>
      </c>
      <c r="C260" s="124" t="s">
        <v>304</v>
      </c>
      <c r="D260">
        <v>801601</v>
      </c>
      <c r="E260" s="13">
        <v>1</v>
      </c>
      <c r="G260" s="124">
        <f>SUM(E260:F260)</f>
        <v>1</v>
      </c>
    </row>
    <row r="261" spans="1:9" ht="15.75" customHeight="1">
      <c r="B261" t="s">
        <v>420</v>
      </c>
      <c r="C261" s="124" t="s">
        <v>307</v>
      </c>
      <c r="D261" t="s">
        <v>353</v>
      </c>
      <c r="E261" s="13">
        <v>1</v>
      </c>
      <c r="G261" s="124">
        <f>SUM(E261:F261)</f>
        <v>1</v>
      </c>
    </row>
    <row r="262" spans="1:9" ht="15.75" customHeight="1">
      <c r="B262" t="s">
        <v>310</v>
      </c>
      <c r="C262" s="124" t="s">
        <v>307</v>
      </c>
      <c r="D262" t="s">
        <v>311</v>
      </c>
      <c r="E262" s="13">
        <v>3</v>
      </c>
      <c r="G262" s="124">
        <f>SUM(E262:F262)</f>
        <v>3</v>
      </c>
    </row>
    <row r="263" spans="1:9" ht="15.75" customHeight="1">
      <c r="B263" t="s">
        <v>368</v>
      </c>
      <c r="C263" s="124" t="s">
        <v>307</v>
      </c>
      <c r="D263" t="s">
        <v>308</v>
      </c>
      <c r="E263" s="13">
        <v>4</v>
      </c>
      <c r="G263" s="124">
        <f>SUM(E263:F263)</f>
        <v>4</v>
      </c>
    </row>
    <row r="264" spans="1:9" ht="15.75" customHeight="1">
      <c r="B264" t="s">
        <v>146</v>
      </c>
      <c r="C264" s="124" t="s">
        <v>304</v>
      </c>
      <c r="D264">
        <v>864610</v>
      </c>
      <c r="E264" s="13">
        <v>1</v>
      </c>
      <c r="G264" s="124">
        <f>SUM(E264:F264)</f>
        <v>1</v>
      </c>
    </row>
    <row r="265" spans="1:9" ht="15.75" customHeight="1">
      <c r="B265" t="s">
        <v>424</v>
      </c>
      <c r="C265" s="124" t="s">
        <v>304</v>
      </c>
      <c r="D265">
        <v>244265</v>
      </c>
      <c r="E265" s="13">
        <v>1</v>
      </c>
      <c r="G265" s="124">
        <f>SUM(E265:F265)</f>
        <v>1</v>
      </c>
    </row>
    <row r="266" spans="1:9" ht="15.75" customHeight="1">
      <c r="B266" t="s">
        <v>505</v>
      </c>
      <c r="C266" s="124" t="s">
        <v>304</v>
      </c>
      <c r="D266">
        <v>864596</v>
      </c>
      <c r="E266" s="13">
        <v>1</v>
      </c>
      <c r="G266" s="124">
        <f>SUM(E266:F266)</f>
        <v>1</v>
      </c>
    </row>
    <row r="267" spans="1:9" ht="15.75" customHeight="1">
      <c r="B267" t="s">
        <v>318</v>
      </c>
      <c r="C267" s="124" t="s">
        <v>304</v>
      </c>
      <c r="D267">
        <v>150787</v>
      </c>
      <c r="E267" s="13">
        <v>1</v>
      </c>
      <c r="G267" s="124">
        <f>SUM(E267:F267)</f>
        <v>1</v>
      </c>
    </row>
    <row r="268" spans="1:9" ht="15.75" customHeight="1">
      <c r="A268" s="61"/>
      <c r="B268" s="61"/>
      <c r="C268" s="63"/>
      <c r="D268" s="61"/>
      <c r="E268" s="61"/>
      <c r="F268" s="62"/>
      <c r="G268" s="62"/>
      <c r="H268" s="144"/>
      <c r="I268" s="61"/>
    </row>
    <row r="269" spans="1:9" ht="15.75" customHeight="1">
      <c r="A269" t="s">
        <v>203</v>
      </c>
      <c r="B269" s="11" t="s">
        <v>506</v>
      </c>
      <c r="C269" s="124" t="s">
        <v>307</v>
      </c>
      <c r="D269" s="101" t="s">
        <v>316</v>
      </c>
      <c r="E269" s="13">
        <v>2</v>
      </c>
      <c r="G269" s="124">
        <f>SUM(E269:F269)</f>
        <v>2</v>
      </c>
      <c r="I269" t="s">
        <v>507</v>
      </c>
    </row>
    <row r="270" spans="1:9" ht="15.75" customHeight="1">
      <c r="B270" s="11" t="s">
        <v>508</v>
      </c>
      <c r="C270" s="124" t="s">
        <v>307</v>
      </c>
      <c r="D270" s="101" t="s">
        <v>316</v>
      </c>
      <c r="F270" s="10">
        <v>1</v>
      </c>
      <c r="G270" s="124">
        <f>SUM(E270:F270)</f>
        <v>1</v>
      </c>
      <c r="H270">
        <v>1</v>
      </c>
      <c r="I270" t="s">
        <v>509</v>
      </c>
    </row>
    <row r="271" spans="1:9" ht="15.75" customHeight="1">
      <c r="B271" s="101" t="s">
        <v>61</v>
      </c>
      <c r="C271" s="124" t="s">
        <v>304</v>
      </c>
      <c r="D271" s="101">
        <v>490099</v>
      </c>
      <c r="E271" s="13">
        <v>7</v>
      </c>
      <c r="G271" s="124">
        <f>SUM(E271:F271)</f>
        <v>7</v>
      </c>
    </row>
    <row r="272" spans="1:9" ht="15.75" customHeight="1">
      <c r="B272" s="11" t="s">
        <v>330</v>
      </c>
      <c r="C272" s="124" t="s">
        <v>304</v>
      </c>
      <c r="D272" s="101">
        <v>770309</v>
      </c>
      <c r="E272" s="13">
        <v>2</v>
      </c>
      <c r="G272" s="124">
        <f>SUM(E272:F272)</f>
        <v>2</v>
      </c>
    </row>
    <row r="273" spans="1:9" ht="15.75" customHeight="1">
      <c r="B273" s="11" t="s">
        <v>510</v>
      </c>
      <c r="C273" s="124" t="s">
        <v>304</v>
      </c>
      <c r="D273" s="101">
        <v>174827</v>
      </c>
      <c r="E273" s="13">
        <v>6</v>
      </c>
      <c r="G273" s="124">
        <f>SUM(E273:F273)</f>
        <v>6</v>
      </c>
    </row>
    <row r="274" spans="1:9" ht="15.75" customHeight="1">
      <c r="B274" s="101" t="s">
        <v>325</v>
      </c>
      <c r="C274" s="124" t="s">
        <v>307</v>
      </c>
      <c r="D274" s="101" t="s">
        <v>326</v>
      </c>
      <c r="E274" s="13">
        <v>2</v>
      </c>
      <c r="G274" s="124">
        <f>SUM(E274:F274)</f>
        <v>2</v>
      </c>
    </row>
    <row r="275" spans="1:9" ht="15.75" customHeight="1">
      <c r="B275" s="11" t="s">
        <v>511</v>
      </c>
      <c r="C275" s="124" t="s">
        <v>307</v>
      </c>
      <c r="D275" s="101" t="s">
        <v>512</v>
      </c>
      <c r="F275" s="10">
        <v>1</v>
      </c>
      <c r="G275" s="124">
        <f>SUM(E275:F275)</f>
        <v>1</v>
      </c>
      <c r="H275">
        <v>1</v>
      </c>
      <c r="I275" t="s">
        <v>436</v>
      </c>
    </row>
    <row r="276" spans="1:9" ht="15.75" customHeight="1">
      <c r="B276" s="101" t="s">
        <v>513</v>
      </c>
      <c r="C276" s="124" t="s">
        <v>304</v>
      </c>
      <c r="D276" s="101">
        <v>5247584</v>
      </c>
      <c r="E276" s="13">
        <v>1</v>
      </c>
      <c r="G276" s="124">
        <f>SUM(E276:F276)</f>
        <v>1</v>
      </c>
    </row>
    <row r="277" spans="1:9" ht="15.75" customHeight="1">
      <c r="B277" s="101" t="s">
        <v>514</v>
      </c>
      <c r="C277" s="124" t="s">
        <v>307</v>
      </c>
      <c r="D277" s="101" t="s">
        <v>308</v>
      </c>
      <c r="E277" s="13">
        <v>1</v>
      </c>
      <c r="G277" s="124">
        <f>SUM(E277:F277)</f>
        <v>1</v>
      </c>
    </row>
    <row r="278" spans="1:9" ht="15.75" customHeight="1">
      <c r="B278" s="101" t="s">
        <v>309</v>
      </c>
      <c r="C278" s="124" t="s">
        <v>304</v>
      </c>
      <c r="D278">
        <v>770315</v>
      </c>
      <c r="E278" s="13">
        <v>1</v>
      </c>
      <c r="G278" s="124">
        <f>SUM(E278:F278)</f>
        <v>1</v>
      </c>
    </row>
    <row r="279" spans="1:9" ht="15.75" customHeight="1">
      <c r="A279" s="61"/>
      <c r="B279" s="61"/>
      <c r="C279" s="63"/>
      <c r="D279" s="61"/>
      <c r="E279" s="61"/>
      <c r="F279" s="62"/>
      <c r="G279" s="62"/>
      <c r="H279" s="144"/>
      <c r="I279" s="61"/>
    </row>
    <row r="280" spans="1:9" ht="15.75" customHeight="1">
      <c r="A280" s="19" t="s">
        <v>206</v>
      </c>
      <c r="B280" s="101" t="s">
        <v>515</v>
      </c>
      <c r="C280" s="172" t="s">
        <v>304</v>
      </c>
      <c r="D280" s="101">
        <v>50847</v>
      </c>
      <c r="E280" s="13">
        <v>2</v>
      </c>
      <c r="G280" s="124">
        <f>SUM(E280:F280)</f>
        <v>2</v>
      </c>
    </row>
    <row r="281" spans="1:9" ht="15.75" customHeight="1">
      <c r="B281" s="101" t="s">
        <v>424</v>
      </c>
      <c r="C281" s="124" t="s">
        <v>304</v>
      </c>
      <c r="D281" s="101">
        <v>244265</v>
      </c>
      <c r="E281" s="13">
        <v>1</v>
      </c>
      <c r="G281" s="124">
        <f>SUM(E281:F281)</f>
        <v>1</v>
      </c>
    </row>
    <row r="282" spans="1:9" ht="15.75" customHeight="1">
      <c r="B282" s="101" t="s">
        <v>330</v>
      </c>
      <c r="C282" s="124" t="s">
        <v>304</v>
      </c>
      <c r="D282" s="101">
        <v>770309</v>
      </c>
      <c r="E282" s="13">
        <v>1</v>
      </c>
      <c r="G282" s="124">
        <f>SUM(E282:F282)</f>
        <v>1</v>
      </c>
    </row>
    <row r="283" spans="1:9" ht="15.75" customHeight="1">
      <c r="B283" s="101" t="s">
        <v>516</v>
      </c>
      <c r="C283" s="124" t="s">
        <v>307</v>
      </c>
      <c r="D283" s="101" t="s">
        <v>308</v>
      </c>
      <c r="E283" s="13">
        <v>2</v>
      </c>
      <c r="G283" s="124">
        <f>SUM(E283:F283)</f>
        <v>2</v>
      </c>
    </row>
    <row r="284" spans="1:9" ht="15.75" customHeight="1">
      <c r="B284" s="101" t="s">
        <v>517</v>
      </c>
      <c r="C284" s="124" t="s">
        <v>304</v>
      </c>
      <c r="D284" s="101">
        <v>88212</v>
      </c>
      <c r="E284" s="13">
        <v>2</v>
      </c>
      <c r="G284" s="124">
        <f>SUM(E284:F284)</f>
        <v>2</v>
      </c>
    </row>
    <row r="285" spans="1:9" ht="15.75" customHeight="1">
      <c r="B285" s="101" t="s">
        <v>310</v>
      </c>
      <c r="C285" s="172" t="s">
        <v>307</v>
      </c>
      <c r="D285" s="101" t="s">
        <v>311</v>
      </c>
      <c r="E285" s="13">
        <v>2</v>
      </c>
      <c r="G285" s="124">
        <f>SUM(E285:F285)</f>
        <v>2</v>
      </c>
    </row>
    <row r="286" spans="1:9" ht="15.75" customHeight="1">
      <c r="B286" s="101" t="s">
        <v>518</v>
      </c>
      <c r="C286" s="124" t="s">
        <v>304</v>
      </c>
      <c r="D286" s="101">
        <v>203384</v>
      </c>
      <c r="F286" s="10">
        <v>1</v>
      </c>
      <c r="G286" s="124">
        <f>SUM(E286:F286)</f>
        <v>1</v>
      </c>
      <c r="I286" t="s">
        <v>519</v>
      </c>
    </row>
    <row r="287" spans="1:9" ht="15.75" customHeight="1">
      <c r="A287" s="61"/>
      <c r="B287" s="61"/>
      <c r="C287" s="63"/>
      <c r="D287" s="61"/>
      <c r="E287" s="61"/>
      <c r="F287" s="62"/>
      <c r="G287" s="62"/>
      <c r="H287" s="144"/>
      <c r="I287" s="61"/>
    </row>
    <row r="288" spans="1:9" ht="15.75" customHeight="1">
      <c r="A288" s="19" t="s">
        <v>209</v>
      </c>
      <c r="B288" s="101" t="s">
        <v>424</v>
      </c>
      <c r="C288" s="124" t="s">
        <v>304</v>
      </c>
      <c r="D288" s="101">
        <v>244265</v>
      </c>
      <c r="E288" s="13">
        <v>1</v>
      </c>
      <c r="G288" s="124">
        <f>SUM(E288:F288)</f>
        <v>1</v>
      </c>
    </row>
    <row r="289" spans="1:9" ht="15.75" customHeight="1">
      <c r="B289" s="101" t="s">
        <v>520</v>
      </c>
      <c r="C289" s="124" t="s">
        <v>304</v>
      </c>
      <c r="D289" s="101">
        <v>656313</v>
      </c>
      <c r="E289" s="13">
        <v>2</v>
      </c>
      <c r="G289" s="124">
        <f>SUM(E289:F289)</f>
        <v>2</v>
      </c>
    </row>
    <row r="290" spans="1:9" ht="15.75" customHeight="1">
      <c r="B290" s="101" t="s">
        <v>521</v>
      </c>
      <c r="C290" s="124" t="s">
        <v>304</v>
      </c>
      <c r="D290" s="101">
        <v>899617</v>
      </c>
      <c r="E290" s="13">
        <v>2</v>
      </c>
      <c r="G290" s="124">
        <f>SUM(E290:F290)</f>
        <v>2</v>
      </c>
    </row>
    <row r="291" spans="1:9" ht="15.75" customHeight="1">
      <c r="B291" s="101" t="s">
        <v>522</v>
      </c>
      <c r="C291" s="124" t="s">
        <v>304</v>
      </c>
      <c r="D291" s="101">
        <v>239076</v>
      </c>
      <c r="E291" s="13">
        <v>1</v>
      </c>
      <c r="G291" s="124">
        <f>SUM(E291:F291)</f>
        <v>1</v>
      </c>
    </row>
    <row r="292" spans="1:9" ht="15.75" customHeight="1">
      <c r="B292" s="101" t="s">
        <v>481</v>
      </c>
      <c r="C292" s="124" t="s">
        <v>304</v>
      </c>
      <c r="D292" s="101">
        <v>19017</v>
      </c>
      <c r="E292" s="13">
        <v>2</v>
      </c>
      <c r="G292" s="124">
        <f>SUM(E292:F292)</f>
        <v>2</v>
      </c>
    </row>
    <row r="293" spans="1:9" ht="15.75" customHeight="1">
      <c r="B293" s="101" t="s">
        <v>523</v>
      </c>
      <c r="C293" s="172" t="s">
        <v>304</v>
      </c>
      <c r="D293" s="101">
        <v>33079</v>
      </c>
      <c r="E293" s="13">
        <v>1</v>
      </c>
      <c r="G293" s="124">
        <f>SUM(E293:F293)</f>
        <v>1</v>
      </c>
    </row>
    <row r="294" spans="1:9" ht="15.75" customHeight="1">
      <c r="A294" s="61"/>
      <c r="B294" s="61"/>
      <c r="C294" s="63"/>
      <c r="D294" s="61"/>
      <c r="E294" s="61"/>
      <c r="F294" s="62"/>
      <c r="G294" s="62"/>
      <c r="H294" s="144"/>
      <c r="I294" s="61"/>
    </row>
    <row r="295" spans="1:9" ht="15.75" customHeight="1">
      <c r="A295" t="s">
        <v>212</v>
      </c>
      <c r="B295" s="101" t="s">
        <v>521</v>
      </c>
      <c r="C295" s="124" t="s">
        <v>304</v>
      </c>
      <c r="D295" s="101">
        <v>899617</v>
      </c>
      <c r="E295" s="13">
        <v>2</v>
      </c>
      <c r="G295" s="124">
        <f>SUM(E295:F295)</f>
        <v>2</v>
      </c>
    </row>
    <row r="296" spans="1:9" ht="15.75" customHeight="1">
      <c r="B296" s="101" t="s">
        <v>306</v>
      </c>
      <c r="C296" s="124" t="s">
        <v>307</v>
      </c>
      <c r="D296" s="11" t="s">
        <v>308</v>
      </c>
      <c r="E296" s="13">
        <v>1</v>
      </c>
      <c r="G296" s="124">
        <f>SUM(E296:F296)</f>
        <v>1</v>
      </c>
    </row>
    <row r="297" spans="1:9" ht="15.75" customHeight="1">
      <c r="B297" s="101" t="s">
        <v>522</v>
      </c>
      <c r="C297" s="124" t="s">
        <v>304</v>
      </c>
      <c r="D297" s="101">
        <v>239076</v>
      </c>
      <c r="E297" s="13">
        <v>1</v>
      </c>
      <c r="G297" s="124">
        <f>SUM(E297:F297)</f>
        <v>1</v>
      </c>
    </row>
    <row r="298" spans="1:9" ht="15.75" customHeight="1">
      <c r="B298" s="101" t="s">
        <v>524</v>
      </c>
      <c r="C298" s="172" t="s">
        <v>304</v>
      </c>
      <c r="D298" s="101">
        <v>656313</v>
      </c>
      <c r="E298" s="13">
        <v>4</v>
      </c>
      <c r="G298" s="124">
        <f>SUM(E298:F298)</f>
        <v>4</v>
      </c>
    </row>
    <row r="299" spans="1:9" ht="15.75" customHeight="1">
      <c r="B299" s="101" t="s">
        <v>66</v>
      </c>
      <c r="C299" s="124" t="s">
        <v>304</v>
      </c>
      <c r="D299" s="101">
        <v>247333</v>
      </c>
      <c r="E299" s="13">
        <v>3</v>
      </c>
      <c r="G299" s="124">
        <f>SUM(E299:F299)</f>
        <v>3</v>
      </c>
    </row>
    <row r="300" spans="1:9" ht="15.75" customHeight="1">
      <c r="B300" s="101" t="s">
        <v>525</v>
      </c>
      <c r="C300" s="124" t="s">
        <v>307</v>
      </c>
      <c r="D300" s="101" t="s">
        <v>526</v>
      </c>
      <c r="E300" s="13">
        <v>1</v>
      </c>
      <c r="G300" s="124">
        <f>SUM(E300:F300)</f>
        <v>1</v>
      </c>
    </row>
    <row r="301" spans="1:9" ht="15.75" customHeight="1">
      <c r="A301" s="61"/>
      <c r="B301" s="61"/>
      <c r="C301" s="63"/>
      <c r="D301" s="61"/>
      <c r="E301" s="61"/>
      <c r="F301" s="62"/>
      <c r="G301" s="62"/>
      <c r="H301" s="144"/>
      <c r="I301" s="61"/>
    </row>
    <row r="302" spans="1:9" ht="15.75" customHeight="1">
      <c r="A302" s="11" t="s">
        <v>214</v>
      </c>
      <c r="B302" s="101" t="s">
        <v>527</v>
      </c>
      <c r="C302" s="124" t="s">
        <v>307</v>
      </c>
      <c r="D302" s="101" t="s">
        <v>311</v>
      </c>
      <c r="E302" s="13">
        <v>2</v>
      </c>
      <c r="G302" s="124">
        <f>SUM(E302:F302)</f>
        <v>2</v>
      </c>
    </row>
    <row r="303" spans="1:9" ht="15.75" customHeight="1">
      <c r="B303" s="101" t="s">
        <v>140</v>
      </c>
      <c r="C303" s="172" t="s">
        <v>304</v>
      </c>
      <c r="D303">
        <v>153563</v>
      </c>
      <c r="E303" s="13">
        <v>1</v>
      </c>
      <c r="G303" s="124">
        <f>SUM(E303:F303)</f>
        <v>1</v>
      </c>
    </row>
    <row r="304" spans="1:9" ht="15.75" customHeight="1">
      <c r="B304" s="101" t="s">
        <v>528</v>
      </c>
      <c r="C304" s="124" t="s">
        <v>304</v>
      </c>
      <c r="D304">
        <v>559439</v>
      </c>
      <c r="E304" s="13">
        <v>2</v>
      </c>
      <c r="G304" s="124">
        <f>SUM(E304:F304)</f>
        <v>2</v>
      </c>
    </row>
    <row r="305" spans="1:9" ht="15.75" customHeight="1">
      <c r="B305" s="101" t="s">
        <v>529</v>
      </c>
      <c r="C305" s="124" t="s">
        <v>304</v>
      </c>
      <c r="D305">
        <v>559434</v>
      </c>
      <c r="E305" s="13">
        <v>8</v>
      </c>
      <c r="G305" s="124">
        <f>SUM(E305:F305)</f>
        <v>8</v>
      </c>
    </row>
    <row r="306" spans="1:9" ht="15.75" customHeight="1">
      <c r="B306" s="101" t="s">
        <v>306</v>
      </c>
      <c r="C306" s="124" t="s">
        <v>307</v>
      </c>
      <c r="D306" s="11" t="s">
        <v>308</v>
      </c>
      <c r="E306" s="13">
        <v>5</v>
      </c>
      <c r="G306" s="124">
        <f>SUM(E306:F306)</f>
        <v>5</v>
      </c>
    </row>
    <row r="307" spans="1:9" ht="15.75" customHeight="1">
      <c r="B307" s="101" t="s">
        <v>309</v>
      </c>
      <c r="C307" s="124" t="s">
        <v>304</v>
      </c>
      <c r="D307" s="11">
        <v>770315</v>
      </c>
      <c r="E307" s="13">
        <v>1</v>
      </c>
      <c r="G307" s="124">
        <f>SUM(E307:F307)</f>
        <v>1</v>
      </c>
    </row>
    <row r="308" spans="1:9" ht="15.75" customHeight="1">
      <c r="B308" s="101" t="s">
        <v>330</v>
      </c>
      <c r="C308" s="124" t="s">
        <v>304</v>
      </c>
      <c r="D308" s="11">
        <v>770309</v>
      </c>
      <c r="E308" s="13">
        <v>1</v>
      </c>
      <c r="G308" s="124">
        <f>SUM(E308:F308)</f>
        <v>1</v>
      </c>
    </row>
    <row r="309" spans="1:9" ht="15.75" customHeight="1">
      <c r="B309" s="101" t="s">
        <v>530</v>
      </c>
      <c r="C309" s="124" t="s">
        <v>307</v>
      </c>
      <c r="D309" s="11" t="s">
        <v>391</v>
      </c>
      <c r="E309" s="13">
        <v>1</v>
      </c>
      <c r="G309" s="124">
        <f>SUM(E309:F309)</f>
        <v>1</v>
      </c>
    </row>
    <row r="310" spans="1:9" ht="15.75" customHeight="1">
      <c r="B310" s="101" t="s">
        <v>392</v>
      </c>
      <c r="C310" s="124" t="s">
        <v>307</v>
      </c>
      <c r="D310" s="11" t="s">
        <v>393</v>
      </c>
      <c r="E310" s="13">
        <v>1</v>
      </c>
      <c r="G310" s="124">
        <f>SUM(E310:F310)</f>
        <v>1</v>
      </c>
    </row>
    <row r="311" spans="1:9" ht="15.75" customHeight="1">
      <c r="A311" s="61"/>
      <c r="B311" s="61"/>
      <c r="C311" s="63"/>
      <c r="D311" s="61"/>
      <c r="E311" s="61"/>
      <c r="F311" s="62"/>
      <c r="G311" s="62"/>
      <c r="H311" s="144"/>
      <c r="I311" s="63" t="s">
        <v>531</v>
      </c>
    </row>
    <row r="312" spans="1:9" ht="15.75" customHeight="1">
      <c r="A312" s="112" t="s">
        <v>217</v>
      </c>
      <c r="B312" s="101" t="s">
        <v>532</v>
      </c>
      <c r="C312" s="14" t="s">
        <v>356</v>
      </c>
      <c r="D312" s="11">
        <v>202204769</v>
      </c>
      <c r="E312" s="13">
        <v>5</v>
      </c>
      <c r="G312" s="124">
        <f>SUM(E312:F312)</f>
        <v>5</v>
      </c>
    </row>
    <row r="313" spans="1:9" ht="15.75" customHeight="1">
      <c r="B313" s="101" t="s">
        <v>533</v>
      </c>
      <c r="C313" s="14" t="s">
        <v>356</v>
      </c>
      <c r="D313" s="11">
        <v>202204775</v>
      </c>
      <c r="E313" s="13">
        <v>2</v>
      </c>
      <c r="G313" s="124">
        <f>SUM(E313:F313)</f>
        <v>2</v>
      </c>
      <c r="I313" s="123" t="s">
        <v>534</v>
      </c>
    </row>
    <row r="314" spans="1:9" ht="15.75" customHeight="1">
      <c r="A314" s="11"/>
      <c r="B314" s="11" t="s">
        <v>535</v>
      </c>
      <c r="C314" s="124" t="s">
        <v>307</v>
      </c>
      <c r="D314" s="11" t="s">
        <v>311</v>
      </c>
      <c r="E314" s="13">
        <v>4</v>
      </c>
      <c r="G314" s="124">
        <f>SUM(E314:F314)</f>
        <v>4</v>
      </c>
      <c r="I314" s="123" t="s">
        <v>536</v>
      </c>
    </row>
    <row r="315" spans="1:9" ht="15.75" customHeight="1">
      <c r="B315" s="101" t="s">
        <v>330</v>
      </c>
      <c r="C315" s="124" t="s">
        <v>304</v>
      </c>
      <c r="D315">
        <v>770309</v>
      </c>
      <c r="E315" s="13">
        <v>3</v>
      </c>
      <c r="G315" s="124">
        <f>SUM(E315:F315)</f>
        <v>3</v>
      </c>
    </row>
    <row r="316" spans="1:9" ht="15.75" customHeight="1">
      <c r="B316" s="101" t="s">
        <v>105</v>
      </c>
      <c r="C316" s="124" t="s">
        <v>304</v>
      </c>
      <c r="D316" s="101">
        <v>563166</v>
      </c>
      <c r="E316" s="13">
        <v>2</v>
      </c>
      <c r="G316" s="124">
        <f>SUM(E316:F316)</f>
        <v>2</v>
      </c>
    </row>
    <row r="317" spans="1:9" ht="15.75" customHeight="1">
      <c r="B317" s="101" t="s">
        <v>364</v>
      </c>
      <c r="C317" s="124" t="s">
        <v>307</v>
      </c>
      <c r="D317" s="11" t="s">
        <v>365</v>
      </c>
      <c r="E317" s="13">
        <v>1</v>
      </c>
      <c r="G317" s="124">
        <f>SUM(E317:F317)</f>
        <v>1</v>
      </c>
    </row>
    <row r="318" spans="1:9" ht="15.75" customHeight="1">
      <c r="B318" s="101" t="s">
        <v>537</v>
      </c>
      <c r="C318" s="124" t="s">
        <v>307</v>
      </c>
      <c r="D318" s="101" t="s">
        <v>512</v>
      </c>
      <c r="F318" s="10">
        <v>1</v>
      </c>
      <c r="G318" s="124">
        <f>SUM(E318:F318)</f>
        <v>1</v>
      </c>
      <c r="H318">
        <v>1</v>
      </c>
      <c r="I318" s="11" t="s">
        <v>538</v>
      </c>
    </row>
    <row r="319" spans="1:9" ht="15.75" customHeight="1">
      <c r="B319" s="101" t="s">
        <v>539</v>
      </c>
      <c r="C319" s="124" t="s">
        <v>304</v>
      </c>
      <c r="D319">
        <v>763310</v>
      </c>
      <c r="E319" s="13">
        <v>1</v>
      </c>
      <c r="G319" s="124">
        <f>SUM(E319:F319)</f>
        <v>1</v>
      </c>
    </row>
    <row r="320" spans="1:9" ht="15.75" customHeight="1">
      <c r="B320" s="101" t="s">
        <v>540</v>
      </c>
      <c r="C320" s="124" t="s">
        <v>307</v>
      </c>
      <c r="D320" s="11" t="s">
        <v>388</v>
      </c>
      <c r="E320" s="13">
        <v>2</v>
      </c>
      <c r="G320" s="124">
        <f>SUM(E320:F320)</f>
        <v>2</v>
      </c>
    </row>
    <row r="321" spans="1:9" ht="15.75" customHeight="1">
      <c r="B321" s="101" t="s">
        <v>541</v>
      </c>
      <c r="C321" s="124" t="s">
        <v>307</v>
      </c>
      <c r="D321" s="101" t="s">
        <v>308</v>
      </c>
      <c r="E321" s="13">
        <v>4</v>
      </c>
      <c r="G321" s="124">
        <f>SUM(E321:F321)</f>
        <v>4</v>
      </c>
    </row>
    <row r="322" spans="1:9" ht="15.75" customHeight="1">
      <c r="B322" s="101" t="s">
        <v>309</v>
      </c>
      <c r="C322" s="124" t="s">
        <v>304</v>
      </c>
      <c r="D322">
        <v>770315</v>
      </c>
      <c r="E322" s="13">
        <v>1</v>
      </c>
      <c r="G322" s="124">
        <f>SUM(E322:F322)</f>
        <v>1</v>
      </c>
    </row>
    <row r="323" spans="1:9" ht="15.75" customHeight="1">
      <c r="B323" s="101" t="s">
        <v>542</v>
      </c>
      <c r="C323" s="124" t="s">
        <v>307</v>
      </c>
      <c r="D323" s="101" t="s">
        <v>326</v>
      </c>
      <c r="E323" s="13">
        <v>2</v>
      </c>
      <c r="G323" s="124">
        <f>SUM(E323:F323)</f>
        <v>2</v>
      </c>
    </row>
    <row r="324" spans="1:9" ht="15.75" customHeight="1">
      <c r="B324" s="101" t="s">
        <v>543</v>
      </c>
      <c r="C324" s="124" t="s">
        <v>307</v>
      </c>
      <c r="D324" s="11" t="s">
        <v>544</v>
      </c>
      <c r="E324" s="13">
        <v>1</v>
      </c>
      <c r="G324" s="124">
        <f>SUM(E324:F324)</f>
        <v>1</v>
      </c>
    </row>
    <row r="325" spans="1:9" ht="15.75" customHeight="1">
      <c r="B325" s="101" t="s">
        <v>502</v>
      </c>
      <c r="C325" s="124" t="s">
        <v>304</v>
      </c>
      <c r="D325">
        <v>864593</v>
      </c>
      <c r="E325" s="13">
        <v>1</v>
      </c>
      <c r="G325" s="124">
        <f>SUM(E325:F325)</f>
        <v>1</v>
      </c>
    </row>
    <row r="326" spans="1:9" ht="15.75" customHeight="1">
      <c r="B326" s="101" t="s">
        <v>545</v>
      </c>
      <c r="C326" s="124" t="s">
        <v>307</v>
      </c>
      <c r="D326" s="11" t="s">
        <v>339</v>
      </c>
      <c r="F326" s="10">
        <v>1</v>
      </c>
      <c r="G326" s="124">
        <f>SUM(E326:F326)</f>
        <v>1</v>
      </c>
      <c r="H326">
        <v>1</v>
      </c>
      <c r="I326" s="11" t="s">
        <v>538</v>
      </c>
    </row>
    <row r="327" spans="1:9" ht="15.75" customHeight="1">
      <c r="B327" s="101" t="s">
        <v>546</v>
      </c>
      <c r="C327" s="124" t="s">
        <v>307</v>
      </c>
      <c r="D327" s="11" t="s">
        <v>547</v>
      </c>
      <c r="F327" s="10">
        <v>1</v>
      </c>
      <c r="G327" s="124">
        <f>SUM(E327:F327)</f>
        <v>1</v>
      </c>
      <c r="I327" t="s">
        <v>548</v>
      </c>
    </row>
    <row r="328" spans="1:9" ht="15.75" customHeight="1">
      <c r="A328" s="61"/>
      <c r="B328" s="61"/>
      <c r="C328" s="63"/>
      <c r="D328" s="61"/>
      <c r="E328" s="61"/>
      <c r="F328" s="61"/>
      <c r="G328" s="61"/>
      <c r="H328" s="61"/>
      <c r="I328" s="61"/>
    </row>
    <row r="329" spans="1:9" ht="15.75" customHeight="1">
      <c r="A329" s="11" t="s">
        <v>221</v>
      </c>
      <c r="B329" s="101" t="s">
        <v>549</v>
      </c>
      <c r="C329" s="124" t="s">
        <v>304</v>
      </c>
      <c r="D329" s="101">
        <v>379252</v>
      </c>
      <c r="E329" s="13">
        <v>4</v>
      </c>
      <c r="G329" s="124">
        <f>SUM(E329:F329)</f>
        <v>4</v>
      </c>
    </row>
    <row r="330" spans="1:9" ht="15.75" customHeight="1">
      <c r="B330" s="101" t="s">
        <v>66</v>
      </c>
      <c r="C330" s="124" t="s">
        <v>304</v>
      </c>
      <c r="D330">
        <v>247333</v>
      </c>
      <c r="E330" s="13">
        <v>4</v>
      </c>
      <c r="G330" s="124">
        <f>SUM(E330:F330)</f>
        <v>4</v>
      </c>
    </row>
    <row r="331" spans="1:9" ht="15.75" customHeight="1">
      <c r="B331" s="101" t="s">
        <v>550</v>
      </c>
      <c r="C331" s="124" t="s">
        <v>304</v>
      </c>
      <c r="D331">
        <v>979373</v>
      </c>
      <c r="E331" s="13">
        <v>1</v>
      </c>
      <c r="G331" s="124">
        <f>SUM(E331:F331)</f>
        <v>1</v>
      </c>
    </row>
    <row r="332" spans="1:9" ht="15.75" customHeight="1">
      <c r="B332" s="101" t="s">
        <v>551</v>
      </c>
      <c r="C332" s="124" t="s">
        <v>304</v>
      </c>
      <c r="D332" s="101">
        <v>979379</v>
      </c>
      <c r="E332" s="13">
        <v>1</v>
      </c>
      <c r="G332" s="124">
        <f>SUM(E332:F332)</f>
        <v>1</v>
      </c>
    </row>
    <row r="333" spans="1:9" ht="15.75" customHeight="1">
      <c r="B333" s="101" t="s">
        <v>309</v>
      </c>
      <c r="C333" s="124" t="s">
        <v>304</v>
      </c>
      <c r="D333">
        <v>770315</v>
      </c>
      <c r="E333" s="13">
        <v>3</v>
      </c>
      <c r="G333" s="124">
        <f>SUM(E333:F333)</f>
        <v>3</v>
      </c>
    </row>
    <row r="334" spans="1:9" ht="15.75" customHeight="1">
      <c r="B334" s="101" t="s">
        <v>330</v>
      </c>
      <c r="C334" s="124" t="s">
        <v>304</v>
      </c>
      <c r="D334">
        <v>770309</v>
      </c>
      <c r="E334" s="13">
        <v>1</v>
      </c>
      <c r="G334" s="124">
        <f>SUM(E334:F334)</f>
        <v>1</v>
      </c>
    </row>
    <row r="335" spans="1:9" ht="15.75" customHeight="1">
      <c r="B335" s="101" t="s">
        <v>315</v>
      </c>
      <c r="C335" s="124" t="s">
        <v>307</v>
      </c>
      <c r="D335" s="11" t="s">
        <v>316</v>
      </c>
      <c r="E335" s="13">
        <v>1</v>
      </c>
      <c r="G335" s="124">
        <f>SUM(E335:F335)</f>
        <v>1</v>
      </c>
      <c r="H335">
        <v>1</v>
      </c>
      <c r="I335" t="s">
        <v>436</v>
      </c>
    </row>
    <row r="336" spans="1:9" ht="15.75" customHeight="1">
      <c r="A336" s="64"/>
      <c r="B336" s="61"/>
      <c r="C336" s="63"/>
      <c r="D336" s="61"/>
      <c r="E336" s="61"/>
      <c r="F336" s="62"/>
      <c r="G336" s="62"/>
      <c r="H336" s="62"/>
      <c r="I336" s="63" t="s">
        <v>552</v>
      </c>
    </row>
    <row r="337" spans="1:9" ht="15.75" customHeight="1">
      <c r="A337" s="112" t="s">
        <v>224</v>
      </c>
      <c r="B337" s="101" t="s">
        <v>549</v>
      </c>
      <c r="C337" s="124" t="s">
        <v>304</v>
      </c>
      <c r="D337" s="11">
        <v>379252</v>
      </c>
      <c r="E337" s="13">
        <v>6</v>
      </c>
      <c r="G337" s="124">
        <f>SUM(E337:F337)</f>
        <v>6</v>
      </c>
    </row>
    <row r="338" spans="1:9" ht="15.75" customHeight="1">
      <c r="B338" s="101" t="s">
        <v>553</v>
      </c>
      <c r="C338" s="124" t="s">
        <v>307</v>
      </c>
      <c r="D338" s="11" t="s">
        <v>554</v>
      </c>
      <c r="F338" s="10">
        <v>6</v>
      </c>
      <c r="G338" s="124">
        <f>SUM(E338:F338)</f>
        <v>6</v>
      </c>
      <c r="H338">
        <v>6</v>
      </c>
      <c r="I338" t="s">
        <v>555</v>
      </c>
    </row>
    <row r="339" spans="1:9" ht="15.75" customHeight="1">
      <c r="B339" s="101" t="s">
        <v>470</v>
      </c>
      <c r="C339" s="124" t="s">
        <v>304</v>
      </c>
      <c r="D339" s="101">
        <v>5322824</v>
      </c>
      <c r="F339" s="10">
        <v>1</v>
      </c>
      <c r="G339" s="124">
        <f>SUM(E339:F339)</f>
        <v>1</v>
      </c>
      <c r="H339">
        <v>1</v>
      </c>
      <c r="I339" t="s">
        <v>556</v>
      </c>
    </row>
    <row r="340" spans="1:9" ht="15.75" customHeight="1">
      <c r="B340" s="101" t="s">
        <v>66</v>
      </c>
      <c r="C340" s="124" t="s">
        <v>304</v>
      </c>
      <c r="D340" s="101">
        <v>247333</v>
      </c>
      <c r="E340" s="13">
        <v>9</v>
      </c>
      <c r="G340" s="124">
        <f>SUM(E340:F340)</f>
        <v>9</v>
      </c>
    </row>
    <row r="341" spans="1:9" ht="15.75" customHeight="1">
      <c r="B341" s="101" t="s">
        <v>309</v>
      </c>
      <c r="C341" s="124" t="s">
        <v>304</v>
      </c>
      <c r="D341" s="101">
        <v>770315</v>
      </c>
      <c r="E341" s="13">
        <v>6</v>
      </c>
      <c r="G341" s="124">
        <f>SUM(E341:F341)</f>
        <v>6</v>
      </c>
    </row>
    <row r="342" spans="1:9" ht="15.75" customHeight="1">
      <c r="B342" s="101" t="s">
        <v>387</v>
      </c>
      <c r="C342" s="172" t="s">
        <v>307</v>
      </c>
      <c r="D342" s="101" t="s">
        <v>388</v>
      </c>
      <c r="F342" s="10">
        <v>1</v>
      </c>
      <c r="G342" s="124">
        <f>SUM(E342:F342)</f>
        <v>1</v>
      </c>
      <c r="H342">
        <v>1</v>
      </c>
      <c r="I342" t="s">
        <v>557</v>
      </c>
    </row>
    <row r="343" spans="1:9" ht="15.75" customHeight="1">
      <c r="B343" s="101" t="s">
        <v>558</v>
      </c>
      <c r="C343" s="124" t="s">
        <v>307</v>
      </c>
      <c r="D343" s="101" t="s">
        <v>559</v>
      </c>
      <c r="E343" s="13">
        <v>1</v>
      </c>
      <c r="G343" s="124">
        <f>SUM(E343:F343)</f>
        <v>1</v>
      </c>
      <c r="H343">
        <v>1</v>
      </c>
      <c r="I343" t="s">
        <v>560</v>
      </c>
    </row>
    <row r="344" spans="1:9" ht="15.75" customHeight="1">
      <c r="B344" s="101" t="s">
        <v>330</v>
      </c>
      <c r="C344" s="124" t="s">
        <v>304</v>
      </c>
      <c r="D344" s="101">
        <v>770309</v>
      </c>
      <c r="E344" s="13">
        <v>2</v>
      </c>
      <c r="G344" s="124">
        <f>SUM(E344:F344)</f>
        <v>2</v>
      </c>
      <c r="I344" t="s">
        <v>561</v>
      </c>
    </row>
    <row r="345" spans="1:9" ht="15.75" customHeight="1">
      <c r="B345" s="101" t="s">
        <v>562</v>
      </c>
      <c r="C345" s="124" t="s">
        <v>307</v>
      </c>
      <c r="D345" s="11" t="s">
        <v>308</v>
      </c>
      <c r="E345" s="13">
        <v>3</v>
      </c>
      <c r="G345" s="124">
        <f>SUM(E345:F345)</f>
        <v>3</v>
      </c>
    </row>
    <row r="346" spans="1:9" ht="15.75" customHeight="1">
      <c r="B346" s="172" t="s">
        <v>563</v>
      </c>
      <c r="C346" s="14" t="s">
        <v>304</v>
      </c>
      <c r="D346" s="172">
        <v>4723161</v>
      </c>
      <c r="F346" s="10">
        <v>1</v>
      </c>
      <c r="G346" s="124">
        <f>SUM(E346:F346)</f>
        <v>1</v>
      </c>
      <c r="H346" s="14">
        <v>1</v>
      </c>
      <c r="I346" s="14" t="s">
        <v>564</v>
      </c>
    </row>
    <row r="347" spans="1:9" ht="15.75" customHeight="1">
      <c r="B347" s="101" t="s">
        <v>565</v>
      </c>
      <c r="C347" s="124" t="s">
        <v>304</v>
      </c>
      <c r="D347">
        <v>506063</v>
      </c>
      <c r="F347" s="10">
        <v>1</v>
      </c>
      <c r="G347" s="124">
        <f>SUM(E347:F347)</f>
        <v>1</v>
      </c>
      <c r="H347">
        <v>1</v>
      </c>
      <c r="I347" s="11" t="s">
        <v>566</v>
      </c>
    </row>
    <row r="348" spans="1:9" ht="15.75" customHeight="1">
      <c r="A348" s="61"/>
      <c r="B348" s="61"/>
      <c r="C348" s="63"/>
      <c r="D348" s="61"/>
      <c r="E348" s="61"/>
      <c r="F348" s="61"/>
      <c r="G348" s="61"/>
      <c r="H348" s="61"/>
      <c r="I348" s="61"/>
    </row>
    <row r="349" spans="1:9" ht="15.75" customHeight="1">
      <c r="A349" s="56">
        <v>9880937</v>
      </c>
      <c r="B349" t="s">
        <v>399</v>
      </c>
      <c r="C349" s="124" t="s">
        <v>307</v>
      </c>
      <c r="D349" t="s">
        <v>400</v>
      </c>
      <c r="E349" s="13">
        <v>2</v>
      </c>
      <c r="F349" s="133"/>
      <c r="G349" s="124">
        <f>SUM(E349:F349)</f>
        <v>2</v>
      </c>
    </row>
    <row r="350" spans="1:9" ht="15.75" customHeight="1">
      <c r="A350" s="14"/>
      <c r="B350" t="s">
        <v>354</v>
      </c>
      <c r="C350" s="124" t="s">
        <v>304</v>
      </c>
      <c r="D350">
        <v>490099</v>
      </c>
      <c r="E350" s="13">
        <v>6</v>
      </c>
      <c r="F350" s="133"/>
      <c r="G350" s="124">
        <f>SUM(E350:F350)</f>
        <v>6</v>
      </c>
    </row>
    <row r="351" spans="1:9" ht="15.75" customHeight="1">
      <c r="A351" s="14"/>
      <c r="B351" t="s">
        <v>567</v>
      </c>
      <c r="C351" s="124" t="s">
        <v>304</v>
      </c>
      <c r="D351">
        <v>623687</v>
      </c>
      <c r="E351" s="13">
        <v>4</v>
      </c>
      <c r="F351" s="133"/>
      <c r="G351" s="124">
        <f>SUM(E351:F351)</f>
        <v>4</v>
      </c>
    </row>
    <row r="352" spans="1:9" ht="15.75" customHeight="1">
      <c r="A352" s="14"/>
      <c r="B352" t="s">
        <v>568</v>
      </c>
      <c r="C352" s="124" t="s">
        <v>304</v>
      </c>
      <c r="D352">
        <v>623689</v>
      </c>
      <c r="E352" s="13">
        <v>2</v>
      </c>
      <c r="G352" s="124">
        <f>SUM(E352:F352)</f>
        <v>2</v>
      </c>
    </row>
    <row r="353" spans="1:9" ht="15.75" customHeight="1">
      <c r="A353" s="14"/>
      <c r="B353" t="s">
        <v>569</v>
      </c>
      <c r="C353" s="124" t="s">
        <v>304</v>
      </c>
      <c r="D353">
        <v>407258</v>
      </c>
      <c r="E353" s="13">
        <v>2</v>
      </c>
      <c r="G353" s="124">
        <f>SUM(E353:F353)</f>
        <v>2</v>
      </c>
    </row>
    <row r="354" spans="1:9" ht="15.75" customHeight="1">
      <c r="A354" s="61"/>
      <c r="B354" s="61"/>
      <c r="C354" s="63"/>
      <c r="D354" s="61"/>
      <c r="E354" s="61"/>
      <c r="F354" s="61"/>
      <c r="G354" s="61"/>
      <c r="H354" s="61"/>
      <c r="I354" s="61"/>
    </row>
    <row r="355" spans="1:9" ht="15.75" customHeight="1">
      <c r="A355" s="56">
        <v>9762293</v>
      </c>
      <c r="B355" t="s">
        <v>570</v>
      </c>
      <c r="C355" s="124" t="s">
        <v>304</v>
      </c>
      <c r="D355">
        <v>870349</v>
      </c>
      <c r="E355" s="13">
        <v>1</v>
      </c>
      <c r="G355" s="124">
        <f>SUM(E355:F355)</f>
        <v>1</v>
      </c>
      <c r="I355" s="11"/>
    </row>
    <row r="356" spans="1:9" ht="15.75" customHeight="1">
      <c r="A356" s="14"/>
      <c r="B356" t="s">
        <v>306</v>
      </c>
      <c r="C356" s="124" t="s">
        <v>307</v>
      </c>
      <c r="D356" t="s">
        <v>308</v>
      </c>
      <c r="E356" s="13">
        <v>1</v>
      </c>
      <c r="G356" s="124">
        <f>SUM(E356:F356)</f>
        <v>1</v>
      </c>
    </row>
    <row r="357" spans="1:9" ht="15.75" customHeight="1">
      <c r="A357" s="61"/>
      <c r="B357" s="61"/>
      <c r="C357" s="63"/>
      <c r="D357" s="61"/>
      <c r="E357" s="61"/>
      <c r="F357" s="61"/>
      <c r="G357" s="61"/>
      <c r="H357" s="61"/>
      <c r="I357" s="61"/>
    </row>
    <row r="358" spans="1:9" ht="15.75" customHeight="1">
      <c r="A358" t="s">
        <v>228</v>
      </c>
      <c r="B358" t="s">
        <v>325</v>
      </c>
      <c r="C358" s="124" t="s">
        <v>307</v>
      </c>
      <c r="D358" t="s">
        <v>326</v>
      </c>
      <c r="E358" s="13">
        <v>5</v>
      </c>
      <c r="G358" s="124">
        <f>SUM(E358:F358)</f>
        <v>5</v>
      </c>
      <c r="I358" s="11" t="s">
        <v>571</v>
      </c>
    </row>
    <row r="359" spans="1:9" ht="15.75" customHeight="1">
      <c r="B359" t="s">
        <v>572</v>
      </c>
      <c r="C359" s="124" t="s">
        <v>304</v>
      </c>
      <c r="D359">
        <v>7999370</v>
      </c>
      <c r="E359" s="13">
        <v>2</v>
      </c>
      <c r="G359" s="124">
        <f>SUM(E359:F359)</f>
        <v>2</v>
      </c>
    </row>
    <row r="360" spans="1:9" ht="15.75" customHeight="1">
      <c r="B360" t="s">
        <v>573</v>
      </c>
      <c r="C360" s="124" t="s">
        <v>304</v>
      </c>
      <c r="D360">
        <v>770315</v>
      </c>
      <c r="E360" s="13">
        <v>4</v>
      </c>
      <c r="G360" s="124">
        <f>SUM(E360:F360)</f>
        <v>4</v>
      </c>
    </row>
    <row r="361" spans="1:9" ht="15.75" customHeight="1">
      <c r="B361" t="s">
        <v>478</v>
      </c>
      <c r="C361" s="124" t="s">
        <v>307</v>
      </c>
      <c r="D361" t="s">
        <v>308</v>
      </c>
      <c r="E361" s="13">
        <v>1</v>
      </c>
      <c r="G361" s="124">
        <f>SUM(E361:F361)</f>
        <v>1</v>
      </c>
    </row>
    <row r="362" spans="1:9" ht="15.75" customHeight="1">
      <c r="B362" t="s">
        <v>574</v>
      </c>
      <c r="C362" s="124" t="s">
        <v>307</v>
      </c>
      <c r="D362" t="s">
        <v>575</v>
      </c>
      <c r="E362" s="13">
        <v>2</v>
      </c>
      <c r="G362" s="124">
        <f>SUM(E362:F362)</f>
        <v>2</v>
      </c>
    </row>
    <row r="363" spans="1:9" ht="15.75" customHeight="1">
      <c r="B363" t="s">
        <v>485</v>
      </c>
      <c r="C363" s="124" t="s">
        <v>307</v>
      </c>
      <c r="D363" t="s">
        <v>316</v>
      </c>
      <c r="E363" s="13">
        <v>2</v>
      </c>
      <c r="G363" s="124">
        <f>SUM(E363:F363)</f>
        <v>2</v>
      </c>
      <c r="I363" s="11"/>
    </row>
    <row r="364" spans="1:9" ht="15.75" customHeight="1">
      <c r="B364" t="s">
        <v>576</v>
      </c>
      <c r="C364" s="124" t="s">
        <v>307</v>
      </c>
      <c r="D364" t="s">
        <v>577</v>
      </c>
      <c r="E364" s="13">
        <v>1</v>
      </c>
      <c r="G364" s="124">
        <f>SUM(E364:F364)</f>
        <v>1</v>
      </c>
    </row>
    <row r="365" spans="1:9" ht="15.75" customHeight="1">
      <c r="A365" s="61"/>
      <c r="B365" s="61"/>
      <c r="C365" s="63"/>
      <c r="D365" s="61"/>
      <c r="E365" s="61"/>
      <c r="F365" s="61"/>
      <c r="G365" s="61"/>
      <c r="H365" s="61"/>
      <c r="I365" s="61"/>
    </row>
    <row r="366" spans="1:9" ht="15.75" customHeight="1">
      <c r="A366" t="s">
        <v>231</v>
      </c>
      <c r="B366" t="s">
        <v>344</v>
      </c>
      <c r="C366" s="124" t="s">
        <v>304</v>
      </c>
      <c r="D366">
        <v>269670</v>
      </c>
      <c r="E366" s="13">
        <v>1</v>
      </c>
      <c r="G366" s="124">
        <f>SUM(E366:F366)</f>
        <v>1</v>
      </c>
      <c r="I366" t="s">
        <v>578</v>
      </c>
    </row>
    <row r="367" spans="1:9" ht="15.75" customHeight="1">
      <c r="B367" t="s">
        <v>579</v>
      </c>
      <c r="C367" s="124" t="s">
        <v>304</v>
      </c>
      <c r="D367">
        <v>6373386</v>
      </c>
      <c r="E367" s="13">
        <v>1</v>
      </c>
      <c r="G367" s="124">
        <f>SUM(E367:F367)</f>
        <v>1</v>
      </c>
    </row>
    <row r="368" spans="1:9" ht="15.75" customHeight="1">
      <c r="B368" t="s">
        <v>572</v>
      </c>
      <c r="C368" s="124" t="s">
        <v>304</v>
      </c>
      <c r="D368">
        <v>7999370</v>
      </c>
      <c r="E368" s="13">
        <v>1</v>
      </c>
      <c r="G368" s="124">
        <f>SUM(E368:F368)</f>
        <v>1</v>
      </c>
    </row>
    <row r="369" spans="1:9" ht="15.75" customHeight="1">
      <c r="B369" t="s">
        <v>306</v>
      </c>
      <c r="C369" s="124" t="s">
        <v>307</v>
      </c>
      <c r="D369" t="s">
        <v>308</v>
      </c>
      <c r="E369" s="13">
        <v>2</v>
      </c>
      <c r="G369" s="124">
        <f>SUM(E369:F369)</f>
        <v>2</v>
      </c>
    </row>
    <row r="370" spans="1:9" ht="15.75" customHeight="1">
      <c r="B370" t="s">
        <v>399</v>
      </c>
      <c r="C370" s="124" t="s">
        <v>307</v>
      </c>
      <c r="D370" t="s">
        <v>400</v>
      </c>
      <c r="E370" s="13">
        <v>1</v>
      </c>
      <c r="G370" s="124">
        <f>SUM(E370:F370)</f>
        <v>1</v>
      </c>
    </row>
    <row r="371" spans="1:9" ht="15.75" customHeight="1">
      <c r="A371" s="61"/>
      <c r="B371" s="61"/>
      <c r="C371" s="63"/>
      <c r="D371" s="61"/>
      <c r="E371" s="61"/>
      <c r="F371" s="61"/>
      <c r="G371" s="61"/>
      <c r="H371" s="61"/>
      <c r="I371" s="61"/>
    </row>
    <row r="372" spans="1:9" ht="15.75" customHeight="1">
      <c r="A372" t="s">
        <v>580</v>
      </c>
      <c r="B372" t="s">
        <v>309</v>
      </c>
      <c r="C372" s="124" t="s">
        <v>304</v>
      </c>
      <c r="D372">
        <v>770315</v>
      </c>
      <c r="E372" s="13">
        <v>3</v>
      </c>
      <c r="G372" s="124">
        <f>SUM(E372:F372)</f>
        <v>3</v>
      </c>
      <c r="I372" s="11" t="s">
        <v>581</v>
      </c>
    </row>
    <row r="373" spans="1:9" ht="15.75" customHeight="1">
      <c r="B373" t="s">
        <v>306</v>
      </c>
      <c r="C373" s="124" t="s">
        <v>307</v>
      </c>
      <c r="D373" t="s">
        <v>308</v>
      </c>
      <c r="E373" s="13">
        <v>6</v>
      </c>
      <c r="G373" s="124">
        <f>SUM(E373:F373)</f>
        <v>6</v>
      </c>
    </row>
    <row r="374" spans="1:9" ht="15.75" customHeight="1">
      <c r="B374" t="s">
        <v>582</v>
      </c>
      <c r="C374" s="124" t="s">
        <v>307</v>
      </c>
      <c r="D374" t="s">
        <v>583</v>
      </c>
      <c r="E374" s="13">
        <v>4</v>
      </c>
      <c r="G374" s="124">
        <f>SUM(E374:F374)</f>
        <v>4</v>
      </c>
    </row>
    <row r="375" spans="1:9" ht="15.75" customHeight="1">
      <c r="B375" t="s">
        <v>467</v>
      </c>
      <c r="C375" s="124" t="s">
        <v>307</v>
      </c>
      <c r="D375" t="s">
        <v>430</v>
      </c>
      <c r="F375" s="10">
        <v>1</v>
      </c>
      <c r="G375" s="124">
        <f>SUM(E375:F375)</f>
        <v>1</v>
      </c>
      <c r="I375" t="s">
        <v>584</v>
      </c>
    </row>
    <row r="376" spans="1:9" ht="15.75" customHeight="1">
      <c r="B376" t="s">
        <v>310</v>
      </c>
      <c r="C376" s="124" t="s">
        <v>307</v>
      </c>
      <c r="D376" t="s">
        <v>311</v>
      </c>
      <c r="E376" s="13">
        <v>1</v>
      </c>
      <c r="G376" s="124">
        <f>SUM(E376:F376)</f>
        <v>1</v>
      </c>
    </row>
    <row r="377" spans="1:9" ht="15.75" customHeight="1">
      <c r="B377" t="s">
        <v>585</v>
      </c>
      <c r="C377" s="124" t="s">
        <v>307</v>
      </c>
      <c r="D377" t="s">
        <v>365</v>
      </c>
      <c r="E377" s="13">
        <v>1</v>
      </c>
      <c r="G377" s="124">
        <f>SUM(E377:F377)</f>
        <v>1</v>
      </c>
    </row>
    <row r="378" spans="1:9" ht="15.75" customHeight="1">
      <c r="A378" s="61"/>
      <c r="B378" s="61"/>
      <c r="C378" s="63"/>
      <c r="D378" s="61"/>
      <c r="E378" s="61"/>
      <c r="F378" s="61"/>
      <c r="G378" s="61"/>
      <c r="H378" s="61"/>
      <c r="I378" s="61"/>
    </row>
    <row r="379" spans="1:9" ht="15.75" customHeight="1">
      <c r="A379" t="s">
        <v>586</v>
      </c>
      <c r="B379" t="s">
        <v>309</v>
      </c>
      <c r="C379" s="124" t="s">
        <v>304</v>
      </c>
      <c r="D379">
        <v>770315</v>
      </c>
      <c r="E379" s="13">
        <v>1</v>
      </c>
      <c r="G379" s="124">
        <f>SUM(E379:F379)</f>
        <v>1</v>
      </c>
      <c r="I379" s="11" t="s">
        <v>587</v>
      </c>
    </row>
    <row r="380" spans="1:9" ht="15.75" customHeight="1">
      <c r="B380" t="s">
        <v>368</v>
      </c>
      <c r="C380" s="124" t="s">
        <v>307</v>
      </c>
      <c r="D380" t="s">
        <v>308</v>
      </c>
      <c r="E380" s="13">
        <v>2</v>
      </c>
      <c r="G380" s="124">
        <f>SUM(E380:F380)</f>
        <v>2</v>
      </c>
    </row>
    <row r="381" spans="1:9" ht="15.75" customHeight="1">
      <c r="A381" s="61"/>
      <c r="B381" s="61"/>
      <c r="C381" s="63"/>
      <c r="D381" s="61"/>
      <c r="E381" s="61"/>
      <c r="F381" s="61"/>
      <c r="G381" s="61"/>
      <c r="H381" s="61"/>
      <c r="I381" s="61"/>
    </row>
    <row r="382" spans="1:9" ht="15.75" customHeight="1">
      <c r="A382" t="s">
        <v>236</v>
      </c>
      <c r="B382" t="s">
        <v>310</v>
      </c>
      <c r="C382" s="124" t="s">
        <v>307</v>
      </c>
      <c r="D382" t="s">
        <v>311</v>
      </c>
      <c r="E382" s="13">
        <v>1</v>
      </c>
      <c r="G382" s="124">
        <f>SUM(E382:F382)</f>
        <v>1</v>
      </c>
      <c r="I382" s="11" t="s">
        <v>588</v>
      </c>
    </row>
    <row r="383" spans="1:9" ht="15.75" customHeight="1">
      <c r="B383" s="11" t="s">
        <v>589</v>
      </c>
      <c r="C383" s="124" t="s">
        <v>304</v>
      </c>
      <c r="D383">
        <v>490099</v>
      </c>
      <c r="E383" s="13">
        <v>2</v>
      </c>
      <c r="G383" s="124">
        <f>SUM(E383:F383)</f>
        <v>2</v>
      </c>
    </row>
    <row r="384" spans="1:9" ht="15.75" customHeight="1">
      <c r="B384" t="s">
        <v>502</v>
      </c>
      <c r="C384" s="124" t="s">
        <v>304</v>
      </c>
      <c r="D384">
        <v>864593</v>
      </c>
      <c r="E384" s="13">
        <v>1</v>
      </c>
      <c r="G384" s="124">
        <f>SUM(E384:F384)</f>
        <v>1</v>
      </c>
    </row>
    <row r="385" spans="1:9" ht="15.75" customHeight="1">
      <c r="B385" t="s">
        <v>384</v>
      </c>
      <c r="C385" s="124" t="s">
        <v>304</v>
      </c>
      <c r="D385">
        <v>730013</v>
      </c>
      <c r="E385" s="13">
        <v>1</v>
      </c>
      <c r="G385" s="124">
        <f>SUM(E385:F385)</f>
        <v>1</v>
      </c>
    </row>
    <row r="386" spans="1:9" ht="15.75" customHeight="1">
      <c r="B386" t="s">
        <v>590</v>
      </c>
      <c r="C386" s="124" t="s">
        <v>304</v>
      </c>
      <c r="D386">
        <v>7562543</v>
      </c>
      <c r="E386" s="156"/>
      <c r="F386" s="10">
        <v>2</v>
      </c>
      <c r="G386" s="14">
        <f>SUM(E386:F386)</f>
        <v>2</v>
      </c>
      <c r="H386" s="142">
        <v>2</v>
      </c>
      <c r="I386" t="s">
        <v>591</v>
      </c>
    </row>
    <row r="387" spans="1:9" ht="15.75" customHeight="1">
      <c r="B387" t="s">
        <v>306</v>
      </c>
      <c r="C387" s="124" t="s">
        <v>307</v>
      </c>
      <c r="D387" t="s">
        <v>308</v>
      </c>
      <c r="E387" s="13">
        <v>1</v>
      </c>
      <c r="F387" s="133"/>
      <c r="G387" s="124">
        <f>SUM(E387:F387)</f>
        <v>1</v>
      </c>
      <c r="H387">
        <v>1</v>
      </c>
      <c r="I387" t="s">
        <v>592</v>
      </c>
    </row>
    <row r="388" spans="1:9" ht="15.75" customHeight="1">
      <c r="A388" s="61"/>
      <c r="B388" s="61"/>
      <c r="C388" s="63"/>
      <c r="D388" s="61"/>
      <c r="E388" s="61"/>
      <c r="F388" s="61"/>
      <c r="G388" s="61"/>
      <c r="H388" s="61"/>
      <c r="I388" s="61"/>
    </row>
    <row r="389" spans="1:9" ht="12.6">
      <c r="A389" t="s">
        <v>238</v>
      </c>
      <c r="B389" s="14" t="s">
        <v>590</v>
      </c>
      <c r="C389" s="14" t="s">
        <v>304</v>
      </c>
      <c r="D389" s="14">
        <v>7562543</v>
      </c>
      <c r="E389" s="156"/>
      <c r="F389" s="133">
        <v>1</v>
      </c>
      <c r="G389" s="14">
        <f>SUM(E389:F389)</f>
        <v>1</v>
      </c>
      <c r="H389" s="142">
        <v>1</v>
      </c>
      <c r="I389" t="s">
        <v>591</v>
      </c>
    </row>
    <row r="390" spans="1:9" ht="12.6">
      <c r="B390" s="14"/>
      <c r="C390" s="14"/>
      <c r="D390" s="14"/>
      <c r="E390" s="156"/>
      <c r="F390" s="133"/>
      <c r="G390" s="14"/>
      <c r="H390" s="142"/>
    </row>
    <row r="391" spans="1:9" ht="15.75" customHeight="1">
      <c r="A391" s="199" t="s">
        <v>593</v>
      </c>
      <c r="B391" s="199"/>
      <c r="C391" s="199"/>
      <c r="D391" s="199"/>
      <c r="E391" s="199"/>
      <c r="F391" s="199"/>
      <c r="G391" s="199"/>
      <c r="H391" s="199"/>
      <c r="I391" s="199"/>
    </row>
    <row r="392" spans="1:9" ht="26.45" customHeight="1">
      <c r="A392">
        <f>COUNTA(A3:A389)</f>
        <v>49</v>
      </c>
      <c r="B392">
        <f>COUNTA(B4:B389)</f>
        <v>338</v>
      </c>
      <c r="D392" s="27" t="s">
        <v>594</v>
      </c>
      <c r="E392" s="13">
        <f>COUNTA(E4:E389)</f>
        <v>294</v>
      </c>
      <c r="F392" s="10">
        <f>COUNTA(F4:F389)</f>
        <v>44</v>
      </c>
      <c r="G392" s="124">
        <f>COUNTA(G4:G389)</f>
        <v>338</v>
      </c>
      <c r="H392">
        <f>COUNTA(H4:H389)</f>
        <v>42</v>
      </c>
    </row>
    <row r="393" spans="1:9" ht="26.45" customHeight="1">
      <c r="D393" s="27" t="s">
        <v>595</v>
      </c>
      <c r="E393" s="156">
        <f>SUM(E4:E389)</f>
        <v>663</v>
      </c>
      <c r="F393" s="133">
        <f>SUM(F4:F389)</f>
        <v>63</v>
      </c>
      <c r="G393" s="124">
        <f>SUM(G4:G389)</f>
        <v>726</v>
      </c>
      <c r="H393" s="14">
        <f>SUM(H4:H389)</f>
        <v>57</v>
      </c>
    </row>
    <row r="394" spans="1:9" ht="26.45" customHeight="1">
      <c r="D394" s="27" t="s">
        <v>596</v>
      </c>
      <c r="E394" s="13">
        <f>COUNTIFS(C4:C389, "ott", E4:E389, "&lt;&gt;")</f>
        <v>179</v>
      </c>
      <c r="F394" s="10">
        <f>COUNTIFS(C4:C389, "ott", F4:F389, "&lt;&gt;")</f>
        <v>21</v>
      </c>
      <c r="G394" s="14">
        <f>COUNTIF(C4:C389,"ott")</f>
        <v>200</v>
      </c>
      <c r="H394" s="189">
        <f>COUNTIFS(C4:C389, "ott", H4:H389, "&lt;&gt;")</f>
        <v>14</v>
      </c>
    </row>
    <row r="395" spans="1:9" ht="26.45" customHeight="1">
      <c r="D395" s="27" t="s">
        <v>597</v>
      </c>
      <c r="E395" s="13">
        <f>SUMIFS(E4:E389,C4:C389,"ott")</f>
        <v>453</v>
      </c>
      <c r="F395" s="10">
        <f>SUMIFS(F4:F389,C4:C389,"ott")</f>
        <v>27</v>
      </c>
      <c r="G395" s="14">
        <f>SUMIFS(G4:G389,C4:C389,"ott")</f>
        <v>480</v>
      </c>
      <c r="H395" s="189">
        <f>SUMIFS(H4:H389,C4:C389,"ott")</f>
        <v>19</v>
      </c>
    </row>
    <row r="396" spans="1:9" ht="26.45" customHeight="1">
      <c r="D396" s="27" t="s">
        <v>598</v>
      </c>
      <c r="E396" s="13">
        <f>COUNTIFS(C4:C389, "ictv", E4:E389, "&lt;&gt;")</f>
        <v>3</v>
      </c>
      <c r="F396" s="133">
        <f>COUNTIFS(C4:C389, "ictv", F4:F389, "&lt;&gt;")</f>
        <v>0</v>
      </c>
      <c r="G396" s="124">
        <f>COUNTIF(C4:C389,"ictv")</f>
        <v>3</v>
      </c>
      <c r="H396" s="189">
        <f>COUNTIFS(C4:C389, "ictv", H4:H389, "&lt;&gt;")</f>
        <v>0</v>
      </c>
    </row>
    <row r="397" spans="1:9" ht="26.45" customHeight="1">
      <c r="D397" s="27" t="s">
        <v>599</v>
      </c>
      <c r="E397" s="13">
        <f>SUMIFS(E4:E389,C4:C389,"ictv")</f>
        <v>8</v>
      </c>
      <c r="F397" s="10">
        <f>SUMIFS(F4:F389,C4:C389,"ictv")</f>
        <v>0</v>
      </c>
      <c r="G397" s="124">
        <f>SUMIFS(G4:G389,C4:C389,"ictv")</f>
        <v>8</v>
      </c>
      <c r="H397" s="14">
        <f>SUMIFS(H4:H389,C4:C389,"ictv")</f>
        <v>0</v>
      </c>
    </row>
    <row r="398" spans="1:9" ht="26.45" customHeight="1">
      <c r="D398" s="27" t="s">
        <v>600</v>
      </c>
      <c r="E398" s="13">
        <f>COUNTIFS(C4:C389, "robiext", E4:E389, "&lt;&gt;")</f>
        <v>112</v>
      </c>
      <c r="F398" s="10">
        <f>COUNTIFS(C4:C389, "robiext", F4:F389, "&lt;&gt;")</f>
        <v>23</v>
      </c>
      <c r="G398" s="14">
        <f>COUNTIF(C4:C389,"robiext")</f>
        <v>135</v>
      </c>
      <c r="H398" s="189">
        <f>COUNTIFS(C4:C389, "robiext", H4:H389, "&lt;&gt;")</f>
        <v>28</v>
      </c>
      <c r="I398" s="133"/>
    </row>
    <row r="399" spans="1:9" ht="26.45" customHeight="1">
      <c r="D399" s="27" t="s">
        <v>601</v>
      </c>
      <c r="E399" s="13">
        <f>SUMIFS(E4:E389,C4:C389,"robiext")</f>
        <v>202</v>
      </c>
      <c r="F399" s="10">
        <f>SUMIFS(F4:F389,C4:C389,"robiext")</f>
        <v>36</v>
      </c>
      <c r="G399" s="14">
        <f>SUMIFS(G4:G389,C4:C389,"robiext")</f>
        <v>238</v>
      </c>
      <c r="H399" s="14">
        <f>SUMIFS(H4:H389,C4:C389,"robiext")</f>
        <v>38</v>
      </c>
    </row>
    <row r="400" spans="1:9" ht="26.45" customHeight="1">
      <c r="D400" s="27" t="s">
        <v>602</v>
      </c>
      <c r="E400" s="181">
        <f>(100*E392)/G392</f>
        <v>86.982248520710058</v>
      </c>
      <c r="F400" s="182">
        <f>(100*F392)/G392</f>
        <v>13.017751479289942</v>
      </c>
      <c r="G400" s="124">
        <v>100</v>
      </c>
      <c r="H400" s="190">
        <f>(100*H392)/G392</f>
        <v>12.42603550295858</v>
      </c>
    </row>
    <row r="401" spans="1:9" ht="26.45" customHeight="1">
      <c r="D401" s="27" t="s">
        <v>603</v>
      </c>
      <c r="E401" s="181">
        <f>(100*E394)/G394</f>
        <v>89.5</v>
      </c>
      <c r="F401" s="182">
        <f>(100*F394)/G394</f>
        <v>10.5</v>
      </c>
      <c r="G401" s="124">
        <v>100</v>
      </c>
      <c r="H401" s="190">
        <f>(100*H394)/G394</f>
        <v>7</v>
      </c>
    </row>
    <row r="402" spans="1:9" ht="26.45" customHeight="1">
      <c r="D402" s="27" t="s">
        <v>604</v>
      </c>
      <c r="E402" s="181">
        <f>(100*E396)/G396</f>
        <v>100</v>
      </c>
      <c r="F402" s="182">
        <f>(100*F396)/G396</f>
        <v>0</v>
      </c>
      <c r="G402" s="124">
        <v>100</v>
      </c>
      <c r="H402" s="190">
        <f>(100*H396)/G396</f>
        <v>0</v>
      </c>
    </row>
    <row r="403" spans="1:9" ht="26.45" customHeight="1">
      <c r="D403" s="27" t="s">
        <v>605</v>
      </c>
      <c r="E403" s="181">
        <f>(100*E398)/G398</f>
        <v>82.962962962962962</v>
      </c>
      <c r="F403" s="182">
        <f>(100*F398)/G398</f>
        <v>17.037037037037038</v>
      </c>
      <c r="G403" s="124">
        <v>100</v>
      </c>
      <c r="H403" s="190">
        <f>(100*H398)/G398</f>
        <v>20.74074074074074</v>
      </c>
    </row>
    <row r="404" spans="1:9" ht="26.45" customHeight="1">
      <c r="D404" s="27" t="s">
        <v>606</v>
      </c>
      <c r="E404" s="181">
        <f>(100*E393)/G393</f>
        <v>91.32231404958678</v>
      </c>
      <c r="F404" s="182">
        <f>(100*F393)/G393</f>
        <v>8.677685950413224</v>
      </c>
      <c r="G404" s="124">
        <v>100</v>
      </c>
      <c r="H404" s="188">
        <f>(100*H393)/G393</f>
        <v>7.8512396694214877</v>
      </c>
    </row>
    <row r="405" spans="1:9" ht="26.45" customHeight="1">
      <c r="D405" s="27" t="s">
        <v>607</v>
      </c>
      <c r="E405" s="181">
        <f>(100*E395)/G395</f>
        <v>94.375</v>
      </c>
      <c r="F405" s="182">
        <f>(100*F395)/G395</f>
        <v>5.625</v>
      </c>
      <c r="G405" s="124">
        <v>100</v>
      </c>
      <c r="H405" s="188">
        <f>(100*H395)/G395</f>
        <v>3.9583333333333335</v>
      </c>
    </row>
    <row r="406" spans="1:9" ht="26.45" customHeight="1">
      <c r="D406" s="27" t="s">
        <v>608</v>
      </c>
      <c r="E406" s="181">
        <f>(100*E397)/G397</f>
        <v>100</v>
      </c>
      <c r="F406" s="182">
        <f>(100*F397)/G397</f>
        <v>0</v>
      </c>
      <c r="G406" s="124">
        <v>100</v>
      </c>
      <c r="H406" s="188">
        <f>(100*H397)/G397</f>
        <v>0</v>
      </c>
    </row>
    <row r="407" spans="1:9" ht="26.45" customHeight="1">
      <c r="D407" s="27" t="s">
        <v>609</v>
      </c>
      <c r="E407" s="181">
        <f>(100*E399)/G399</f>
        <v>84.87394957983193</v>
      </c>
      <c r="F407" s="182">
        <f>(100*F399)/G399</f>
        <v>15.126050420168067</v>
      </c>
      <c r="G407" s="124">
        <v>100</v>
      </c>
      <c r="H407" s="188">
        <f>(100*H399)/G399</f>
        <v>15.966386554621849</v>
      </c>
    </row>
    <row r="408" spans="1:9" ht="15.75" customHeight="1">
      <c r="A408" s="199"/>
      <c r="B408" s="199"/>
      <c r="C408" s="199"/>
      <c r="D408" s="199"/>
      <c r="E408" s="199"/>
      <c r="F408" s="199"/>
      <c r="G408" s="199"/>
      <c r="H408" s="199"/>
      <c r="I408" s="199"/>
    </row>
  </sheetData>
  <mergeCells count="2">
    <mergeCell ref="A391:I391"/>
    <mergeCell ref="A408:I408"/>
  </mergeCells>
  <hyperlinks>
    <hyperlink ref="A358" r:id="rId1" display="https://www.ncbi.nlm.nih.gov/pmc/articles/PMC10746266/" xr:uid="{838588CA-DF3F-4E80-A15E-E72DD27BD42D}"/>
    <hyperlink ref="A366" r:id="rId2" display="https://www.ncbi.nlm.nih.gov/pmc/articles/PMC10859794/" xr:uid="{1CB5C066-521D-407C-AE9A-1767F9AC6862}"/>
  </hyperlinks>
  <pageMargins left="0" right="0" top="0" bottom="0" header="0" footer="0"/>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CF0D1-F594-4D2F-80C4-AF88B9563609}">
  <sheetPr>
    <tabColor rgb="FF7030A0"/>
  </sheetPr>
  <dimension ref="A1:J106"/>
  <sheetViews>
    <sheetView topLeftCell="A95" workbookViewId="0">
      <selection activeCell="A102" sqref="A102"/>
    </sheetView>
  </sheetViews>
  <sheetFormatPr defaultColWidth="11.42578125" defaultRowHeight="12.6"/>
  <cols>
    <col min="1" max="1" width="17.42578125" customWidth="1"/>
    <col min="2" max="2" width="50.28515625" style="27" customWidth="1"/>
    <col min="3" max="3" width="21.42578125" style="27" customWidth="1"/>
    <col min="4" max="4" width="17.28515625" customWidth="1"/>
    <col min="5" max="5" width="21.28515625" customWidth="1"/>
    <col min="6" max="6" width="9.42578125" style="163" customWidth="1"/>
    <col min="7" max="7" width="9.42578125" style="131" customWidth="1"/>
    <col min="8" max="8" width="11.42578125" style="141" customWidth="1"/>
    <col min="9" max="9" width="42.42578125" style="27" customWidth="1"/>
  </cols>
  <sheetData>
    <row r="1" spans="1:9" ht="14.45" customHeight="1">
      <c r="F1" s="200" t="s">
        <v>610</v>
      </c>
      <c r="G1" s="200"/>
    </row>
    <row r="2" spans="1:9" s="18" customFormat="1" ht="26.1">
      <c r="A2" s="81" t="s">
        <v>295</v>
      </c>
      <c r="B2" s="81" t="s">
        <v>611</v>
      </c>
      <c r="C2" s="81" t="s">
        <v>612</v>
      </c>
      <c r="D2" s="82" t="s">
        <v>613</v>
      </c>
      <c r="E2" s="86" t="s">
        <v>614</v>
      </c>
      <c r="F2" s="167" t="s">
        <v>157</v>
      </c>
      <c r="G2" s="152" t="s">
        <v>158</v>
      </c>
      <c r="H2" s="168" t="s">
        <v>302</v>
      </c>
      <c r="I2" s="87" t="s">
        <v>52</v>
      </c>
    </row>
    <row r="3" spans="1:9" ht="62.45">
      <c r="A3" t="s">
        <v>176</v>
      </c>
      <c r="B3" s="27" t="s">
        <v>615</v>
      </c>
      <c r="C3" s="27" t="s">
        <v>616</v>
      </c>
      <c r="D3" t="s">
        <v>617</v>
      </c>
      <c r="E3" s="11" t="s">
        <v>111</v>
      </c>
      <c r="F3" s="163">
        <v>1</v>
      </c>
      <c r="H3" s="157"/>
      <c r="I3" s="28" t="s">
        <v>618</v>
      </c>
    </row>
    <row r="4" spans="1:9" ht="45.75" customHeight="1">
      <c r="B4" t="s">
        <v>619</v>
      </c>
      <c r="C4" s="27" t="s">
        <v>318</v>
      </c>
      <c r="D4" t="s">
        <v>620</v>
      </c>
      <c r="E4" s="11" t="s">
        <v>327</v>
      </c>
      <c r="F4" s="163">
        <v>1</v>
      </c>
      <c r="H4" s="158" t="s">
        <v>621</v>
      </c>
      <c r="I4" s="28" t="s">
        <v>622</v>
      </c>
    </row>
    <row r="5" spans="1:9" ht="37.5">
      <c r="A5" s="11"/>
      <c r="B5" s="27" t="s">
        <v>623</v>
      </c>
      <c r="C5" s="28" t="s">
        <v>319</v>
      </c>
      <c r="D5" t="s">
        <v>617</v>
      </c>
      <c r="E5" s="11" t="s">
        <v>624</v>
      </c>
      <c r="F5" s="163">
        <v>1</v>
      </c>
      <c r="H5" s="157"/>
      <c r="I5" t="s">
        <v>625</v>
      </c>
    </row>
    <row r="6" spans="1:9" ht="37.5">
      <c r="B6" s="27" t="s">
        <v>626</v>
      </c>
      <c r="C6" s="28" t="s">
        <v>627</v>
      </c>
      <c r="D6" t="s">
        <v>617</v>
      </c>
      <c r="E6" s="11" t="s">
        <v>628</v>
      </c>
      <c r="F6" s="163">
        <v>1</v>
      </c>
      <c r="H6" s="157"/>
      <c r="I6" s="27" t="s">
        <v>625</v>
      </c>
    </row>
    <row r="7" spans="1:9" ht="37.5">
      <c r="A7" s="11"/>
      <c r="B7" s="27" t="s">
        <v>629</v>
      </c>
      <c r="C7" t="s">
        <v>319</v>
      </c>
      <c r="D7" s="11" t="s">
        <v>617</v>
      </c>
      <c r="E7" s="11" t="s">
        <v>630</v>
      </c>
      <c r="F7" s="163">
        <v>1</v>
      </c>
      <c r="H7" s="157"/>
      <c r="I7" s="27" t="s">
        <v>625</v>
      </c>
    </row>
    <row r="8" spans="1:9" ht="37.5">
      <c r="A8" s="11"/>
      <c r="B8" s="27" t="s">
        <v>631</v>
      </c>
      <c r="C8" t="s">
        <v>632</v>
      </c>
      <c r="D8" s="11" t="s">
        <v>633</v>
      </c>
      <c r="E8" s="11" t="s">
        <v>58</v>
      </c>
      <c r="F8" s="163">
        <v>1</v>
      </c>
      <c r="H8" s="157"/>
      <c r="I8" t="s">
        <v>618</v>
      </c>
    </row>
    <row r="9" spans="1:9">
      <c r="A9" s="11"/>
      <c r="B9" t="s">
        <v>634</v>
      </c>
      <c r="C9" s="28" t="s">
        <v>632</v>
      </c>
      <c r="D9" s="11" t="s">
        <v>635</v>
      </c>
      <c r="E9" s="11"/>
      <c r="F9" s="163">
        <v>1</v>
      </c>
      <c r="H9" s="157" t="s">
        <v>621</v>
      </c>
      <c r="I9" t="s">
        <v>636</v>
      </c>
    </row>
    <row r="10" spans="1:9">
      <c r="A10" s="11"/>
      <c r="B10" t="s">
        <v>637</v>
      </c>
      <c r="C10" s="28" t="s">
        <v>638</v>
      </c>
      <c r="D10" s="11" t="s">
        <v>639</v>
      </c>
      <c r="E10" s="11"/>
      <c r="F10" s="163">
        <v>1</v>
      </c>
      <c r="H10" s="157" t="s">
        <v>621</v>
      </c>
      <c r="I10" t="s">
        <v>640</v>
      </c>
    </row>
    <row r="11" spans="1:9">
      <c r="A11" s="11"/>
      <c r="B11" t="s">
        <v>641</v>
      </c>
      <c r="C11" s="28" t="s">
        <v>632</v>
      </c>
      <c r="D11" s="11" t="s">
        <v>617</v>
      </c>
      <c r="E11" s="11" t="s">
        <v>58</v>
      </c>
      <c r="F11" s="163">
        <v>1</v>
      </c>
      <c r="H11" s="157" t="s">
        <v>621</v>
      </c>
      <c r="I11" t="s">
        <v>618</v>
      </c>
    </row>
    <row r="12" spans="1:9">
      <c r="A12" s="131"/>
      <c r="B12" t="s">
        <v>642</v>
      </c>
      <c r="C12" s="28"/>
      <c r="D12" s="11" t="s">
        <v>643</v>
      </c>
      <c r="E12" s="11"/>
      <c r="G12" s="131">
        <v>1</v>
      </c>
      <c r="H12" s="157" t="s">
        <v>621</v>
      </c>
      <c r="I12" t="s">
        <v>644</v>
      </c>
    </row>
    <row r="13" spans="1:9">
      <c r="A13" s="60"/>
      <c r="B13" s="65"/>
      <c r="C13" s="60"/>
      <c r="D13" s="60"/>
      <c r="E13" s="60"/>
      <c r="F13" s="164"/>
      <c r="G13" s="169"/>
      <c r="H13" s="140"/>
      <c r="I13" s="60"/>
    </row>
    <row r="14" spans="1:9" ht="37.5">
      <c r="A14" s="19">
        <v>14584365</v>
      </c>
      <c r="B14" s="28" t="s">
        <v>645</v>
      </c>
      <c r="C14" s="28" t="s">
        <v>646</v>
      </c>
      <c r="D14" s="11" t="s">
        <v>306</v>
      </c>
      <c r="E14" s="11" t="s">
        <v>66</v>
      </c>
      <c r="F14" s="163">
        <v>1</v>
      </c>
      <c r="H14" s="157"/>
    </row>
    <row r="15" spans="1:9" ht="50.1">
      <c r="A15" s="9"/>
      <c r="B15" s="28" t="s">
        <v>647</v>
      </c>
      <c r="C15" s="28" t="s">
        <v>648</v>
      </c>
      <c r="D15" s="11" t="s">
        <v>310</v>
      </c>
      <c r="E15" s="11" t="s">
        <v>330</v>
      </c>
      <c r="F15" s="163">
        <v>1</v>
      </c>
      <c r="H15" s="157"/>
    </row>
    <row r="16" spans="1:9">
      <c r="A16" s="60"/>
      <c r="B16" s="65"/>
      <c r="C16" s="60"/>
      <c r="D16" s="60"/>
      <c r="E16" s="60"/>
      <c r="F16" s="164"/>
      <c r="G16" s="169"/>
      <c r="H16" s="140"/>
      <c r="I16" s="60"/>
    </row>
    <row r="17" spans="1:9" ht="28.5" customHeight="1">
      <c r="A17" s="101" t="s">
        <v>334</v>
      </c>
      <c r="B17" s="28" t="s">
        <v>649</v>
      </c>
      <c r="C17" t="s">
        <v>650</v>
      </c>
      <c r="D17" s="11" t="s">
        <v>336</v>
      </c>
      <c r="E17" s="11" t="s">
        <v>651</v>
      </c>
      <c r="F17" s="163">
        <v>1</v>
      </c>
      <c r="H17" s="157"/>
    </row>
    <row r="18" spans="1:9">
      <c r="A18" s="60"/>
      <c r="B18" s="65"/>
      <c r="C18" s="60"/>
      <c r="D18" s="60"/>
      <c r="E18" s="60"/>
      <c r="F18" s="164"/>
      <c r="G18" s="169"/>
      <c r="H18" s="140"/>
      <c r="I18" s="60"/>
    </row>
    <row r="19" spans="1:9" ht="37.5">
      <c r="A19" t="s">
        <v>273</v>
      </c>
      <c r="B19" s="27" t="s">
        <v>652</v>
      </c>
      <c r="C19" t="s">
        <v>653</v>
      </c>
      <c r="E19" t="s">
        <v>654</v>
      </c>
      <c r="F19" s="163">
        <v>1</v>
      </c>
      <c r="H19" t="s">
        <v>621</v>
      </c>
      <c r="I19"/>
    </row>
    <row r="20" spans="1:9" ht="24.95">
      <c r="B20" s="27" t="s">
        <v>655</v>
      </c>
      <c r="C20" t="s">
        <v>417</v>
      </c>
      <c r="D20" t="s">
        <v>656</v>
      </c>
      <c r="E20" t="s">
        <v>657</v>
      </c>
      <c r="F20" s="163">
        <v>1</v>
      </c>
      <c r="H20" s="141" t="s">
        <v>621</v>
      </c>
      <c r="I20" t="s">
        <v>658</v>
      </c>
    </row>
    <row r="21" spans="1:9">
      <c r="A21" s="64" t="s">
        <v>659</v>
      </c>
      <c r="B21" s="65"/>
      <c r="C21" s="60"/>
      <c r="D21" s="60"/>
      <c r="E21" s="60"/>
      <c r="F21" s="164"/>
      <c r="G21" s="169"/>
      <c r="H21" s="140"/>
      <c r="I21" s="60"/>
    </row>
    <row r="22" spans="1:9" ht="24.95">
      <c r="A22" t="s">
        <v>275</v>
      </c>
      <c r="B22" t="s">
        <v>660</v>
      </c>
      <c r="C22" s="124" t="s">
        <v>661</v>
      </c>
      <c r="D22" t="s">
        <v>662</v>
      </c>
      <c r="E22" s="132" t="s">
        <v>663</v>
      </c>
      <c r="F22" s="163">
        <v>1</v>
      </c>
      <c r="H22" s="159" t="s">
        <v>621</v>
      </c>
      <c r="I22" s="132" t="s">
        <v>664</v>
      </c>
    </row>
    <row r="23" spans="1:9" ht="37.5">
      <c r="A23" s="11"/>
      <c r="B23" s="28" t="s">
        <v>665</v>
      </c>
      <c r="C23" s="11" t="s">
        <v>666</v>
      </c>
      <c r="D23" s="11" t="s">
        <v>667</v>
      </c>
      <c r="E23" s="14" t="s">
        <v>668</v>
      </c>
      <c r="F23" s="163">
        <v>1</v>
      </c>
      <c r="H23" s="142" t="s">
        <v>621</v>
      </c>
      <c r="I23" t="s">
        <v>669</v>
      </c>
    </row>
    <row r="24" spans="1:9">
      <c r="A24" s="60" t="s">
        <v>670</v>
      </c>
      <c r="B24" s="65"/>
      <c r="C24" s="60"/>
      <c r="D24" s="60"/>
      <c r="E24" s="60"/>
      <c r="F24" s="164"/>
      <c r="G24" s="169"/>
      <c r="H24" s="140"/>
      <c r="I24" s="60"/>
    </row>
    <row r="25" spans="1:9" ht="37.5">
      <c r="A25" s="35" t="s">
        <v>279</v>
      </c>
      <c r="B25" s="27" t="s">
        <v>671</v>
      </c>
      <c r="C25" t="s">
        <v>434</v>
      </c>
      <c r="D25" t="s">
        <v>373</v>
      </c>
      <c r="E25" t="s">
        <v>672</v>
      </c>
      <c r="F25" s="163">
        <v>1</v>
      </c>
      <c r="I25"/>
    </row>
    <row r="26" spans="1:9" ht="37.5">
      <c r="B26" s="27" t="s">
        <v>673</v>
      </c>
      <c r="C26" t="s">
        <v>369</v>
      </c>
      <c r="D26" t="s">
        <v>674</v>
      </c>
      <c r="E26" t="s">
        <v>675</v>
      </c>
      <c r="F26" s="163">
        <v>1</v>
      </c>
      <c r="I26"/>
    </row>
    <row r="27" spans="1:9" ht="37.5">
      <c r="B27" s="27" t="s">
        <v>676</v>
      </c>
      <c r="C27" t="s">
        <v>434</v>
      </c>
      <c r="D27" t="s">
        <v>464</v>
      </c>
      <c r="E27" t="s">
        <v>677</v>
      </c>
      <c r="F27" s="163">
        <v>1</v>
      </c>
      <c r="I27" t="s">
        <v>678</v>
      </c>
    </row>
    <row r="28" spans="1:9" ht="37.5">
      <c r="B28" s="27" t="s">
        <v>679</v>
      </c>
      <c r="C28" t="s">
        <v>434</v>
      </c>
      <c r="D28" t="s">
        <v>468</v>
      </c>
      <c r="E28" t="s">
        <v>61</v>
      </c>
      <c r="F28" s="163">
        <v>1</v>
      </c>
      <c r="I28"/>
    </row>
    <row r="29" spans="1:9" ht="24.95">
      <c r="B29" s="27" t="s">
        <v>680</v>
      </c>
      <c r="C29" t="s">
        <v>681</v>
      </c>
      <c r="D29" t="s">
        <v>464</v>
      </c>
      <c r="E29" t="s">
        <v>61</v>
      </c>
      <c r="F29" s="163">
        <v>1</v>
      </c>
      <c r="I29"/>
    </row>
    <row r="30" spans="1:9" ht="37.5">
      <c r="B30" s="27" t="s">
        <v>682</v>
      </c>
      <c r="G30" s="131">
        <v>1</v>
      </c>
      <c r="H30" s="141" t="s">
        <v>621</v>
      </c>
      <c r="I30" s="131" t="s">
        <v>683</v>
      </c>
    </row>
    <row r="31" spans="1:9" ht="24.95">
      <c r="B31" s="27" t="s">
        <v>684</v>
      </c>
      <c r="G31" s="131">
        <v>1</v>
      </c>
      <c r="H31" s="141" t="s">
        <v>621</v>
      </c>
      <c r="I31" s="131" t="s">
        <v>683</v>
      </c>
    </row>
    <row r="32" spans="1:9" ht="24.95">
      <c r="B32" s="27" t="s">
        <v>685</v>
      </c>
      <c r="C32" s="27" t="s">
        <v>434</v>
      </c>
      <c r="D32" t="s">
        <v>352</v>
      </c>
      <c r="E32" t="s">
        <v>61</v>
      </c>
      <c r="F32" s="163">
        <v>1</v>
      </c>
      <c r="H32" s="141" t="s">
        <v>621</v>
      </c>
    </row>
    <row r="33" spans="1:9" ht="24.95">
      <c r="A33" s="11"/>
      <c r="B33" s="27" t="s">
        <v>686</v>
      </c>
      <c r="C33" s="27" t="s">
        <v>687</v>
      </c>
      <c r="D33" t="s">
        <v>468</v>
      </c>
      <c r="E33" t="s">
        <v>688</v>
      </c>
      <c r="F33" s="163">
        <v>1</v>
      </c>
      <c r="H33" s="141" t="s">
        <v>621</v>
      </c>
      <c r="I33" s="27" t="s">
        <v>689</v>
      </c>
    </row>
    <row r="34" spans="1:9">
      <c r="A34" s="60"/>
      <c r="B34" s="65"/>
      <c r="C34" s="60"/>
      <c r="D34" s="60"/>
      <c r="E34" s="60"/>
      <c r="F34" s="164"/>
      <c r="G34" s="169"/>
      <c r="H34" s="140"/>
      <c r="I34" s="60"/>
    </row>
    <row r="35" spans="1:9" ht="24.95">
      <c r="A35" s="11" t="s">
        <v>288</v>
      </c>
      <c r="B35" t="s">
        <v>690</v>
      </c>
      <c r="C35" t="s">
        <v>309</v>
      </c>
      <c r="D35" t="s">
        <v>691</v>
      </c>
      <c r="E35" t="s">
        <v>89</v>
      </c>
      <c r="F35" s="163">
        <v>1</v>
      </c>
      <c r="I35" s="27" t="s">
        <v>692</v>
      </c>
    </row>
    <row r="36" spans="1:9" ht="24.95">
      <c r="B36" t="s">
        <v>693</v>
      </c>
      <c r="C36" t="s">
        <v>61</v>
      </c>
      <c r="D36" t="s">
        <v>694</v>
      </c>
      <c r="E36" t="s">
        <v>89</v>
      </c>
      <c r="F36" s="163">
        <v>1</v>
      </c>
      <c r="I36" s="27" t="s">
        <v>695</v>
      </c>
    </row>
    <row r="37" spans="1:9">
      <c r="A37" t="s">
        <v>483</v>
      </c>
      <c r="B37" s="65"/>
      <c r="C37" s="60"/>
      <c r="D37" s="60"/>
      <c r="E37" s="60"/>
      <c r="F37" s="164"/>
      <c r="G37" s="169"/>
      <c r="H37" s="140"/>
      <c r="I37" s="60"/>
    </row>
    <row r="38" spans="1:9" ht="37.5">
      <c r="A38" s="114" t="s">
        <v>696</v>
      </c>
      <c r="B38" s="28" t="s">
        <v>697</v>
      </c>
      <c r="C38" t="s">
        <v>139</v>
      </c>
      <c r="D38" s="11" t="s">
        <v>698</v>
      </c>
      <c r="E38" t="s">
        <v>699</v>
      </c>
      <c r="F38" s="163">
        <v>1</v>
      </c>
      <c r="I38" s="28"/>
    </row>
    <row r="39" spans="1:9" ht="75">
      <c r="B39" s="28" t="s">
        <v>700</v>
      </c>
      <c r="C39" s="57" t="s">
        <v>701</v>
      </c>
      <c r="D39" s="72" t="s">
        <v>702</v>
      </c>
      <c r="E39" s="73" t="s">
        <v>703</v>
      </c>
      <c r="F39" s="165">
        <v>1</v>
      </c>
      <c r="G39" s="170"/>
      <c r="H39" s="160"/>
    </row>
    <row r="40" spans="1:9" ht="62.45">
      <c r="B40" s="28" t="s">
        <v>704</v>
      </c>
      <c r="C40" s="73" t="s">
        <v>705</v>
      </c>
      <c r="D40" s="72" t="s">
        <v>706</v>
      </c>
      <c r="E40" s="73" t="s">
        <v>707</v>
      </c>
      <c r="F40" s="165">
        <v>1</v>
      </c>
      <c r="G40" s="170"/>
      <c r="H40" s="160"/>
    </row>
    <row r="41" spans="1:9">
      <c r="A41" t="s">
        <v>483</v>
      </c>
      <c r="B41" s="60"/>
      <c r="C41" s="60"/>
      <c r="D41" s="60"/>
      <c r="E41" s="60"/>
      <c r="F41" s="164"/>
      <c r="G41" s="169"/>
      <c r="H41" s="140"/>
      <c r="I41" s="60"/>
    </row>
    <row r="42" spans="1:9" ht="24.95">
      <c r="A42" s="114" t="s">
        <v>243</v>
      </c>
      <c r="B42" s="28" t="s">
        <v>708</v>
      </c>
      <c r="C42" t="s">
        <v>709</v>
      </c>
      <c r="D42" t="s">
        <v>710</v>
      </c>
      <c r="E42" t="s">
        <v>309</v>
      </c>
      <c r="F42" s="163">
        <v>1</v>
      </c>
      <c r="I42" s="28" t="s">
        <v>711</v>
      </c>
    </row>
    <row r="43" spans="1:9" ht="58.7" customHeight="1">
      <c r="B43" s="132" t="s">
        <v>712</v>
      </c>
      <c r="C43" t="s">
        <v>139</v>
      </c>
      <c r="E43" s="11" t="s">
        <v>713</v>
      </c>
      <c r="F43" s="163">
        <v>1</v>
      </c>
      <c r="H43" s="157"/>
      <c r="I43" t="s">
        <v>714</v>
      </c>
    </row>
    <row r="44" spans="1:9">
      <c r="A44" s="60" t="s">
        <v>715</v>
      </c>
      <c r="B44" s="60"/>
      <c r="C44" s="60"/>
      <c r="D44" s="60"/>
      <c r="E44" s="60"/>
      <c r="F44" s="164"/>
      <c r="G44" s="169"/>
      <c r="H44" s="140"/>
      <c r="I44" s="60"/>
    </row>
    <row r="45" spans="1:9" ht="37.5">
      <c r="A45" t="s">
        <v>253</v>
      </c>
      <c r="B45" s="28" t="s">
        <v>716</v>
      </c>
      <c r="C45" s="57" t="s">
        <v>717</v>
      </c>
      <c r="D45" t="s">
        <v>718</v>
      </c>
      <c r="E45" s="11" t="s">
        <v>719</v>
      </c>
      <c r="F45" s="163">
        <v>1</v>
      </c>
      <c r="I45" s="28" t="s">
        <v>720</v>
      </c>
    </row>
    <row r="46" spans="1:9" ht="37.5">
      <c r="B46" s="120" t="s">
        <v>721</v>
      </c>
      <c r="C46" s="121" t="s">
        <v>722</v>
      </c>
      <c r="D46" s="121" t="s">
        <v>723</v>
      </c>
      <c r="E46" s="122" t="s">
        <v>309</v>
      </c>
      <c r="F46" s="166">
        <v>1</v>
      </c>
      <c r="G46" s="171"/>
      <c r="H46" s="161" t="s">
        <v>621</v>
      </c>
      <c r="I46" s="28" t="s">
        <v>720</v>
      </c>
    </row>
    <row r="47" spans="1:9">
      <c r="A47" s="60"/>
      <c r="B47" s="60"/>
      <c r="C47" s="60"/>
      <c r="D47" s="60"/>
      <c r="E47" s="60"/>
      <c r="F47" s="164"/>
      <c r="G47" s="169"/>
      <c r="H47" s="140"/>
      <c r="I47" s="60"/>
    </row>
    <row r="48" spans="1:9" ht="37.5">
      <c r="A48" s="114" t="s">
        <v>503</v>
      </c>
      <c r="B48" s="28" t="s">
        <v>724</v>
      </c>
      <c r="C48" t="s">
        <v>725</v>
      </c>
      <c r="D48" t="s">
        <v>368</v>
      </c>
      <c r="E48" s="11" t="s">
        <v>309</v>
      </c>
      <c r="F48" s="163">
        <v>1</v>
      </c>
      <c r="H48" s="157"/>
      <c r="I48" s="28" t="s">
        <v>483</v>
      </c>
    </row>
    <row r="49" spans="1:9">
      <c r="A49" s="60"/>
      <c r="B49" s="65"/>
      <c r="C49" s="60"/>
      <c r="D49" s="60"/>
      <c r="E49" s="60"/>
      <c r="F49" s="164"/>
      <c r="G49" s="169"/>
      <c r="H49" s="140"/>
      <c r="I49" s="60"/>
    </row>
    <row r="50" spans="1:9" ht="50.1">
      <c r="A50" t="s">
        <v>203</v>
      </c>
      <c r="B50" s="27" t="s">
        <v>726</v>
      </c>
      <c r="C50" s="27" t="s">
        <v>510</v>
      </c>
      <c r="D50" s="27" t="s">
        <v>727</v>
      </c>
      <c r="E50" t="s">
        <v>330</v>
      </c>
      <c r="F50" s="163">
        <v>1</v>
      </c>
      <c r="H50" s="141" t="s">
        <v>621</v>
      </c>
    </row>
    <row r="51" spans="1:9" ht="62.45">
      <c r="B51" s="27" t="s">
        <v>728</v>
      </c>
      <c r="C51" s="27" t="s">
        <v>729</v>
      </c>
      <c r="D51" s="27" t="s">
        <v>730</v>
      </c>
      <c r="E51" t="s">
        <v>61</v>
      </c>
      <c r="F51" s="163">
        <v>1</v>
      </c>
      <c r="I51" t="s">
        <v>731</v>
      </c>
    </row>
    <row r="52" spans="1:9" ht="50.1">
      <c r="B52" s="27" t="s">
        <v>732</v>
      </c>
      <c r="C52" s="27" t="s">
        <v>61</v>
      </c>
      <c r="D52" s="27" t="s">
        <v>733</v>
      </c>
      <c r="E52" t="s">
        <v>729</v>
      </c>
      <c r="F52" s="163">
        <v>1</v>
      </c>
      <c r="I52" t="s">
        <v>731</v>
      </c>
    </row>
    <row r="53" spans="1:9">
      <c r="B53" t="s">
        <v>734</v>
      </c>
      <c r="C53" t="s">
        <v>61</v>
      </c>
      <c r="D53" t="s">
        <v>511</v>
      </c>
      <c r="E53" s="28" t="s">
        <v>330</v>
      </c>
      <c r="F53" s="163">
        <v>1</v>
      </c>
      <c r="H53" s="158" t="s">
        <v>621</v>
      </c>
    </row>
    <row r="54" spans="1:9">
      <c r="A54" s="60"/>
      <c r="B54" s="65"/>
      <c r="C54" s="60"/>
      <c r="D54" s="60"/>
      <c r="E54" s="60"/>
      <c r="F54" s="164"/>
      <c r="G54" s="169"/>
      <c r="H54" s="140"/>
      <c r="I54" s="60"/>
    </row>
    <row r="55" spans="1:9" ht="50.1">
      <c r="A55" t="s">
        <v>206</v>
      </c>
      <c r="B55" s="130" t="s">
        <v>735</v>
      </c>
      <c r="C55" s="27" t="s">
        <v>515</v>
      </c>
      <c r="D55" s="27" t="s">
        <v>736</v>
      </c>
      <c r="E55" t="s">
        <v>424</v>
      </c>
      <c r="F55" s="163">
        <v>1</v>
      </c>
      <c r="I55" t="s">
        <v>737</v>
      </c>
    </row>
    <row r="56" spans="1:9" ht="50.1">
      <c r="B56" s="27" t="s">
        <v>738</v>
      </c>
      <c r="C56" s="27" t="s">
        <v>515</v>
      </c>
      <c r="D56" s="27" t="s">
        <v>516</v>
      </c>
      <c r="E56" t="s">
        <v>330</v>
      </c>
      <c r="F56" s="163">
        <v>1</v>
      </c>
    </row>
    <row r="57" spans="1:9" ht="75">
      <c r="B57" s="27" t="s">
        <v>739</v>
      </c>
      <c r="C57" s="27" t="s">
        <v>517</v>
      </c>
      <c r="D57" s="27" t="s">
        <v>516</v>
      </c>
      <c r="E57" t="s">
        <v>740</v>
      </c>
      <c r="F57" s="163">
        <v>1</v>
      </c>
      <c r="I57" t="s">
        <v>741</v>
      </c>
    </row>
    <row r="58" spans="1:9" ht="37.5">
      <c r="B58" s="27" t="s">
        <v>742</v>
      </c>
      <c r="C58" s="27" t="s">
        <v>518</v>
      </c>
      <c r="D58" s="27" t="s">
        <v>743</v>
      </c>
      <c r="E58" t="s">
        <v>744</v>
      </c>
      <c r="F58" s="163">
        <v>1</v>
      </c>
      <c r="I58" t="s">
        <v>745</v>
      </c>
    </row>
    <row r="59" spans="1:9">
      <c r="A59" s="60"/>
      <c r="B59" s="65"/>
      <c r="C59" s="60"/>
      <c r="D59" s="60"/>
      <c r="E59" s="60"/>
      <c r="F59" s="164"/>
      <c r="G59" s="169"/>
      <c r="H59" s="140"/>
      <c r="I59" s="60"/>
    </row>
    <row r="60" spans="1:9" ht="37.5">
      <c r="A60" t="s">
        <v>209</v>
      </c>
      <c r="B60" s="130" t="s">
        <v>746</v>
      </c>
      <c r="C60" s="27" t="s">
        <v>747</v>
      </c>
      <c r="D60" s="27" t="s">
        <v>748</v>
      </c>
      <c r="E60" t="s">
        <v>424</v>
      </c>
      <c r="F60" s="163">
        <v>1</v>
      </c>
      <c r="I60" t="s">
        <v>749</v>
      </c>
    </row>
    <row r="61" spans="1:9" ht="37.5">
      <c r="B61" s="130" t="s">
        <v>750</v>
      </c>
      <c r="C61" s="27" t="s">
        <v>751</v>
      </c>
      <c r="D61" s="27" t="s">
        <v>364</v>
      </c>
      <c r="E61" t="s">
        <v>752</v>
      </c>
      <c r="F61" s="163">
        <v>1</v>
      </c>
      <c r="I61" t="s">
        <v>753</v>
      </c>
    </row>
    <row r="62" spans="1:9" ht="62.45">
      <c r="B62" s="130" t="s">
        <v>754</v>
      </c>
      <c r="C62" s="27" t="s">
        <v>481</v>
      </c>
      <c r="D62" s="27" t="s">
        <v>755</v>
      </c>
      <c r="E62" t="s">
        <v>756</v>
      </c>
      <c r="F62" s="163">
        <v>1</v>
      </c>
      <c r="I62" t="s">
        <v>757</v>
      </c>
    </row>
    <row r="63" spans="1:9">
      <c r="A63" s="60"/>
      <c r="B63" s="65"/>
      <c r="C63" s="60"/>
      <c r="D63" s="60"/>
      <c r="E63" s="60"/>
      <c r="F63" s="164"/>
      <c r="G63" s="169"/>
      <c r="H63" s="140"/>
      <c r="I63" s="60"/>
    </row>
    <row r="64" spans="1:9" ht="37.5">
      <c r="A64" t="s">
        <v>212</v>
      </c>
      <c r="B64" s="27" t="s">
        <v>758</v>
      </c>
      <c r="C64" s="27" t="s">
        <v>66</v>
      </c>
      <c r="D64" s="27" t="s">
        <v>759</v>
      </c>
      <c r="E64" t="s">
        <v>760</v>
      </c>
      <c r="F64" s="163">
        <v>1</v>
      </c>
      <c r="I64" t="s">
        <v>757</v>
      </c>
    </row>
    <row r="65" spans="1:10">
      <c r="A65" s="60"/>
      <c r="B65" s="65"/>
      <c r="C65" s="60"/>
      <c r="D65" s="60"/>
      <c r="E65" s="60"/>
      <c r="F65" s="164"/>
      <c r="G65" s="169"/>
      <c r="H65" s="140"/>
      <c r="I65" s="60"/>
    </row>
    <row r="66" spans="1:10" ht="50.1">
      <c r="A66" t="s">
        <v>214</v>
      </c>
      <c r="B66" s="27" t="s">
        <v>761</v>
      </c>
      <c r="C66" s="27" t="s">
        <v>528</v>
      </c>
      <c r="D66" s="27" t="s">
        <v>762</v>
      </c>
      <c r="E66" t="s">
        <v>140</v>
      </c>
      <c r="F66" s="163">
        <v>1</v>
      </c>
    </row>
    <row r="67" spans="1:10" ht="24.95">
      <c r="B67" s="27" t="s">
        <v>763</v>
      </c>
      <c r="C67" s="27" t="s">
        <v>529</v>
      </c>
      <c r="D67" s="27" t="s">
        <v>764</v>
      </c>
      <c r="E67" t="s">
        <v>765</v>
      </c>
      <c r="F67" s="163">
        <v>1</v>
      </c>
      <c r="I67" t="s">
        <v>766</v>
      </c>
    </row>
    <row r="68" spans="1:10">
      <c r="A68" s="60" t="s">
        <v>767</v>
      </c>
      <c r="B68" s="65"/>
      <c r="C68" s="60"/>
      <c r="D68" s="60"/>
      <c r="E68" s="60"/>
      <c r="F68" s="164"/>
      <c r="G68" s="169"/>
      <c r="H68" s="140"/>
      <c r="I68" s="60"/>
    </row>
    <row r="69" spans="1:10" ht="24.95">
      <c r="A69" t="s">
        <v>217</v>
      </c>
      <c r="B69" s="27" t="s">
        <v>768</v>
      </c>
      <c r="C69" s="27" t="s">
        <v>769</v>
      </c>
      <c r="D69" s="27" t="s">
        <v>364</v>
      </c>
      <c r="E69" t="s">
        <v>770</v>
      </c>
      <c r="F69" s="163">
        <v>1</v>
      </c>
      <c r="J69" s="27"/>
    </row>
    <row r="70" spans="1:10">
      <c r="B70" s="27" t="s">
        <v>771</v>
      </c>
      <c r="C70" s="27" t="s">
        <v>769</v>
      </c>
      <c r="D70" s="27" t="s">
        <v>772</v>
      </c>
      <c r="E70" t="s">
        <v>75</v>
      </c>
      <c r="F70" s="163">
        <v>1</v>
      </c>
    </row>
    <row r="71" spans="1:10" ht="24.95">
      <c r="B71" s="27" t="s">
        <v>773</v>
      </c>
      <c r="C71" s="27" t="s">
        <v>502</v>
      </c>
      <c r="D71" s="27" t="s">
        <v>762</v>
      </c>
      <c r="E71" t="s">
        <v>330</v>
      </c>
      <c r="F71" s="163">
        <v>1</v>
      </c>
    </row>
    <row r="72" spans="1:10" ht="24.95">
      <c r="B72" s="27" t="s">
        <v>774</v>
      </c>
      <c r="C72" s="27" t="s">
        <v>502</v>
      </c>
      <c r="D72" s="27" t="s">
        <v>775</v>
      </c>
      <c r="E72" t="s">
        <v>776</v>
      </c>
      <c r="F72" s="163">
        <v>1</v>
      </c>
      <c r="I72" t="s">
        <v>777</v>
      </c>
    </row>
    <row r="73" spans="1:10">
      <c r="B73" t="s">
        <v>778</v>
      </c>
      <c r="D73" s="27"/>
      <c r="G73" s="131">
        <v>1</v>
      </c>
      <c r="H73" s="141" t="s">
        <v>621</v>
      </c>
      <c r="I73" s="133" t="s">
        <v>779</v>
      </c>
    </row>
    <row r="74" spans="1:10">
      <c r="B74" t="s">
        <v>780</v>
      </c>
      <c r="C74" t="s">
        <v>781</v>
      </c>
      <c r="D74" t="s">
        <v>782</v>
      </c>
      <c r="E74" s="28" t="s">
        <v>783</v>
      </c>
      <c r="F74" s="163">
        <v>1</v>
      </c>
      <c r="H74" s="158" t="s">
        <v>621</v>
      </c>
      <c r="I74" s="14" t="s">
        <v>784</v>
      </c>
    </row>
    <row r="75" spans="1:10">
      <c r="A75" s="60"/>
      <c r="B75" s="65"/>
      <c r="C75" s="60"/>
      <c r="D75" s="60"/>
      <c r="E75" s="60"/>
      <c r="F75" s="164"/>
      <c r="G75" s="169"/>
      <c r="H75" s="140"/>
      <c r="I75" s="60"/>
    </row>
    <row r="76" spans="1:10">
      <c r="A76" t="s">
        <v>221</v>
      </c>
      <c r="B76" t="s">
        <v>785</v>
      </c>
      <c r="C76" s="27" t="s">
        <v>66</v>
      </c>
      <c r="D76" s="27" t="s">
        <v>786</v>
      </c>
      <c r="E76" s="27" t="s">
        <v>309</v>
      </c>
      <c r="F76" s="163">
        <v>1</v>
      </c>
      <c r="H76" s="162"/>
      <c r="I76" t="s">
        <v>787</v>
      </c>
    </row>
    <row r="77" spans="1:10" ht="37.5">
      <c r="B77" s="27" t="s">
        <v>788</v>
      </c>
      <c r="C77" s="27" t="s">
        <v>549</v>
      </c>
      <c r="D77" s="27" t="s">
        <v>786</v>
      </c>
      <c r="E77" s="27" t="s">
        <v>309</v>
      </c>
      <c r="F77" s="163">
        <v>1</v>
      </c>
      <c r="H77" s="162" t="s">
        <v>621</v>
      </c>
      <c r="I77" t="s">
        <v>787</v>
      </c>
    </row>
    <row r="78" spans="1:10">
      <c r="A78" s="60" t="s">
        <v>789</v>
      </c>
      <c r="B78" s="65"/>
      <c r="C78" s="60"/>
      <c r="D78" s="60"/>
      <c r="E78" s="60"/>
      <c r="F78" s="164"/>
      <c r="G78" s="169"/>
      <c r="H78" s="140"/>
      <c r="I78" s="60"/>
    </row>
    <row r="79" spans="1:10">
      <c r="A79" t="s">
        <v>790</v>
      </c>
      <c r="B79" t="s">
        <v>791</v>
      </c>
      <c r="D79" s="27"/>
      <c r="E79" s="27"/>
      <c r="G79" s="131">
        <v>1</v>
      </c>
      <c r="H79" s="162" t="s">
        <v>621</v>
      </c>
      <c r="I79" s="133" t="s">
        <v>683</v>
      </c>
    </row>
    <row r="80" spans="1:10" ht="55.7" customHeight="1">
      <c r="B80" s="27" t="s">
        <v>792</v>
      </c>
      <c r="C80" s="27" t="s">
        <v>265</v>
      </c>
      <c r="D80" t="s">
        <v>793</v>
      </c>
      <c r="E80" s="27" t="s">
        <v>549</v>
      </c>
      <c r="F80" s="163">
        <v>1</v>
      </c>
      <c r="H80" s="162" t="s">
        <v>621</v>
      </c>
      <c r="I80" t="s">
        <v>794</v>
      </c>
    </row>
    <row r="81" spans="1:9" ht="55.7" customHeight="1">
      <c r="B81" s="138" t="s">
        <v>795</v>
      </c>
      <c r="C81" s="121" t="s">
        <v>309</v>
      </c>
      <c r="D81" t="s">
        <v>796</v>
      </c>
      <c r="E81" t="s">
        <v>688</v>
      </c>
      <c r="F81" s="163">
        <v>1</v>
      </c>
      <c r="H81" s="141" t="s">
        <v>621</v>
      </c>
      <c r="I81" t="s">
        <v>797</v>
      </c>
    </row>
    <row r="82" spans="1:9" ht="27.6" customHeight="1">
      <c r="B82" s="138" t="s">
        <v>798</v>
      </c>
      <c r="C82" s="122" t="s">
        <v>66</v>
      </c>
      <c r="D82" t="s">
        <v>799</v>
      </c>
      <c r="E82" s="11" t="s">
        <v>549</v>
      </c>
      <c r="F82" s="163">
        <v>1</v>
      </c>
      <c r="H82" s="157" t="s">
        <v>621</v>
      </c>
      <c r="I82" t="s">
        <v>800</v>
      </c>
    </row>
    <row r="83" spans="1:9" ht="54.6" customHeight="1">
      <c r="A83" s="11"/>
      <c r="B83" s="138" t="s">
        <v>801</v>
      </c>
      <c r="C83" s="122"/>
      <c r="E83" s="11"/>
      <c r="G83" s="131">
        <v>1</v>
      </c>
      <c r="H83" s="157" t="s">
        <v>621</v>
      </c>
      <c r="I83" s="10" t="s">
        <v>683</v>
      </c>
    </row>
    <row r="84" spans="1:9">
      <c r="A84" s="60"/>
      <c r="B84" s="65"/>
      <c r="C84" s="60"/>
      <c r="D84" s="60"/>
      <c r="E84" s="60"/>
      <c r="F84" s="164"/>
      <c r="G84" s="169"/>
      <c r="H84" s="140"/>
      <c r="I84" s="60"/>
    </row>
    <row r="85" spans="1:9" ht="24.95">
      <c r="A85" t="s">
        <v>282</v>
      </c>
      <c r="B85" s="28" t="s">
        <v>802</v>
      </c>
      <c r="C85" s="28" t="s">
        <v>803</v>
      </c>
      <c r="D85" s="11" t="s">
        <v>473</v>
      </c>
      <c r="E85" s="11" t="s">
        <v>804</v>
      </c>
      <c r="F85" s="163">
        <v>1</v>
      </c>
      <c r="H85" s="157"/>
      <c r="I85" s="28" t="s">
        <v>805</v>
      </c>
    </row>
    <row r="86" spans="1:9">
      <c r="A86" s="60"/>
      <c r="B86" s="65"/>
      <c r="C86" s="60"/>
      <c r="D86" s="60"/>
      <c r="E86" s="60"/>
      <c r="F86" s="164"/>
      <c r="G86" s="169"/>
      <c r="H86" s="140"/>
      <c r="I86" s="60"/>
    </row>
    <row r="87" spans="1:9" ht="24.95">
      <c r="A87" t="s">
        <v>200</v>
      </c>
      <c r="B87" s="27" t="s">
        <v>806</v>
      </c>
      <c r="D87" t="s">
        <v>373</v>
      </c>
      <c r="G87" s="131">
        <v>1</v>
      </c>
      <c r="I87" s="131" t="s">
        <v>683</v>
      </c>
    </row>
    <row r="88" spans="1:9">
      <c r="A88" s="60"/>
      <c r="B88" s="65"/>
      <c r="C88" s="60"/>
      <c r="D88" s="60"/>
      <c r="E88" s="60"/>
      <c r="F88" s="164"/>
      <c r="G88" s="169"/>
      <c r="H88" s="140"/>
      <c r="I88" s="60"/>
    </row>
    <row r="89" spans="1:9">
      <c r="A89" s="11" t="s">
        <v>285</v>
      </c>
      <c r="B89" t="s">
        <v>807</v>
      </c>
      <c r="C89" t="s">
        <v>808</v>
      </c>
      <c r="D89" t="s">
        <v>809</v>
      </c>
      <c r="E89" t="s">
        <v>111</v>
      </c>
      <c r="F89" s="163">
        <v>1</v>
      </c>
      <c r="H89" s="141" t="s">
        <v>621</v>
      </c>
      <c r="I89" t="s">
        <v>810</v>
      </c>
    </row>
    <row r="90" spans="1:9" ht="12.6" customHeight="1">
      <c r="A90" s="60" t="s">
        <v>83</v>
      </c>
      <c r="B90" s="65"/>
      <c r="C90" s="60"/>
      <c r="D90" s="60"/>
      <c r="E90" s="60"/>
      <c r="F90" s="164"/>
      <c r="G90" s="169"/>
      <c r="H90" s="140"/>
      <c r="I90" s="60"/>
    </row>
    <row r="91" spans="1:9">
      <c r="A91" t="s">
        <v>811</v>
      </c>
      <c r="B91" t="s">
        <v>812</v>
      </c>
      <c r="C91" t="s">
        <v>330</v>
      </c>
      <c r="D91" s="11" t="s">
        <v>782</v>
      </c>
      <c r="E91" s="11" t="s">
        <v>813</v>
      </c>
      <c r="F91" s="163">
        <v>1</v>
      </c>
      <c r="I91" t="s">
        <v>814</v>
      </c>
    </row>
    <row r="92" spans="1:9" ht="37.5">
      <c r="A92">
        <v>14584365</v>
      </c>
      <c r="B92" s="28" t="s">
        <v>815</v>
      </c>
      <c r="C92" t="s">
        <v>816</v>
      </c>
      <c r="D92" t="s">
        <v>306</v>
      </c>
      <c r="E92" t="s">
        <v>66</v>
      </c>
      <c r="F92" s="156">
        <v>1</v>
      </c>
    </row>
    <row r="93" spans="1:9" ht="50.1">
      <c r="B93" s="28" t="s">
        <v>817</v>
      </c>
      <c r="C93" t="s">
        <v>818</v>
      </c>
      <c r="D93" t="s">
        <v>310</v>
      </c>
      <c r="E93" t="s">
        <v>330</v>
      </c>
      <c r="F93" s="156">
        <v>1</v>
      </c>
    </row>
    <row r="94" spans="1:9">
      <c r="A94" s="60" t="s">
        <v>83</v>
      </c>
      <c r="B94" s="65"/>
      <c r="C94" s="60"/>
      <c r="D94" s="60"/>
      <c r="E94" s="60"/>
      <c r="F94" s="173"/>
      <c r="G94" s="169"/>
      <c r="H94" s="140"/>
      <c r="I94" s="60"/>
    </row>
    <row r="95" spans="1:9" ht="50.1">
      <c r="A95" s="56">
        <v>9880937</v>
      </c>
      <c r="B95" s="58" t="s">
        <v>819</v>
      </c>
      <c r="C95" s="57"/>
      <c r="D95" s="11" t="s">
        <v>820</v>
      </c>
      <c r="F95" s="156">
        <v>1</v>
      </c>
    </row>
    <row r="96" spans="1:9">
      <c r="A96" s="60" t="s">
        <v>83</v>
      </c>
      <c r="B96" s="65"/>
      <c r="C96" s="60"/>
      <c r="D96" s="60"/>
      <c r="E96" s="60"/>
      <c r="F96" s="173"/>
      <c r="G96" s="169"/>
      <c r="H96" s="140"/>
      <c r="I96" s="60"/>
    </row>
    <row r="97" spans="1:9" ht="37.5">
      <c r="A97" s="59">
        <v>9762293</v>
      </c>
      <c r="B97" s="28" t="s">
        <v>821</v>
      </c>
      <c r="C97" t="s">
        <v>822</v>
      </c>
      <c r="D97" s="11" t="s">
        <v>306</v>
      </c>
      <c r="E97" s="11" t="s">
        <v>823</v>
      </c>
      <c r="F97" s="156">
        <v>1</v>
      </c>
    </row>
    <row r="98" spans="1:9">
      <c r="A98" s="60" t="s">
        <v>83</v>
      </c>
      <c r="B98" s="65"/>
      <c r="C98" s="60"/>
      <c r="D98" s="60"/>
      <c r="E98" s="60"/>
      <c r="F98" s="173"/>
      <c r="G98" s="169"/>
      <c r="H98" s="140"/>
      <c r="I98" s="60"/>
    </row>
    <row r="99" spans="1:9" ht="37.5">
      <c r="A99" t="s">
        <v>228</v>
      </c>
      <c r="B99" s="28" t="s">
        <v>824</v>
      </c>
      <c r="C99" s="11" t="s">
        <v>572</v>
      </c>
      <c r="D99" s="11" t="s">
        <v>325</v>
      </c>
      <c r="E99" s="11" t="s">
        <v>825</v>
      </c>
      <c r="F99" s="156">
        <v>1</v>
      </c>
    </row>
    <row r="100" spans="1:9" ht="50.1">
      <c r="B100" s="28" t="s">
        <v>826</v>
      </c>
      <c r="C100" t="s">
        <v>827</v>
      </c>
      <c r="D100" t="s">
        <v>478</v>
      </c>
      <c r="E100" t="s">
        <v>828</v>
      </c>
      <c r="F100" s="156">
        <v>1</v>
      </c>
    </row>
    <row r="101" spans="1:9" ht="60.6" customHeight="1">
      <c r="B101" s="138" t="s">
        <v>829</v>
      </c>
      <c r="C101" s="122" t="s">
        <v>827</v>
      </c>
      <c r="D101" t="s">
        <v>830</v>
      </c>
      <c r="E101" t="s">
        <v>831</v>
      </c>
      <c r="F101" s="176">
        <v>1</v>
      </c>
    </row>
    <row r="102" spans="1:9" ht="37.5">
      <c r="B102" s="28" t="s">
        <v>832</v>
      </c>
      <c r="C102" t="s">
        <v>827</v>
      </c>
      <c r="D102" s="28" t="s">
        <v>833</v>
      </c>
      <c r="E102" t="s">
        <v>309</v>
      </c>
      <c r="F102" s="156">
        <v>1</v>
      </c>
    </row>
    <row r="106" spans="1:9" ht="25.5">
      <c r="E106" s="27" t="s">
        <v>834</v>
      </c>
      <c r="F106" s="177">
        <f>COUNTIFS(F3:F102,1)</f>
        <v>68</v>
      </c>
    </row>
  </sheetData>
  <mergeCells count="1">
    <mergeCell ref="F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1CD9-9658-4F56-93E7-04FD2B51331B}">
  <sheetPr>
    <tabColor rgb="FFFFC000"/>
  </sheetPr>
  <dimension ref="A1:H28"/>
  <sheetViews>
    <sheetView topLeftCell="A11" zoomScale="70" zoomScaleNormal="70" workbookViewId="0">
      <selection activeCell="K25" sqref="K25"/>
    </sheetView>
  </sheetViews>
  <sheetFormatPr defaultColWidth="11.42578125" defaultRowHeight="12.6"/>
  <cols>
    <col min="1" max="1" width="14.140625" customWidth="1"/>
    <col min="2" max="2" width="15.140625" customWidth="1"/>
    <col min="3" max="3" width="16.28515625" customWidth="1"/>
    <col min="4" max="4" width="15.7109375" customWidth="1"/>
    <col min="5" max="5" width="46" style="27" customWidth="1"/>
    <col min="6" max="6" width="54.5703125" customWidth="1"/>
    <col min="7" max="7" width="44.140625" customWidth="1"/>
  </cols>
  <sheetData>
    <row r="1" spans="1:7" ht="39">
      <c r="A1" s="30" t="s">
        <v>835</v>
      </c>
      <c r="B1" s="111" t="s">
        <v>296</v>
      </c>
      <c r="C1" s="111" t="s">
        <v>297</v>
      </c>
      <c r="D1" s="111" t="s">
        <v>298</v>
      </c>
      <c r="E1" s="30" t="s">
        <v>836</v>
      </c>
      <c r="F1" s="30" t="s">
        <v>52</v>
      </c>
      <c r="G1" s="30" t="s">
        <v>837</v>
      </c>
    </row>
    <row r="2" spans="1:7" ht="37.5">
      <c r="A2" s="125">
        <v>14584365</v>
      </c>
      <c r="B2" s="125" t="s">
        <v>312</v>
      </c>
      <c r="C2" s="125" t="s">
        <v>304</v>
      </c>
      <c r="D2" s="126">
        <v>507125</v>
      </c>
      <c r="E2" s="127" t="s">
        <v>838</v>
      </c>
      <c r="F2" s="125" t="s">
        <v>839</v>
      </c>
      <c r="G2" s="125" t="s">
        <v>840</v>
      </c>
    </row>
    <row r="3" spans="1:7" ht="37.5">
      <c r="A3" s="128" t="s">
        <v>176</v>
      </c>
      <c r="B3" s="128" t="s">
        <v>315</v>
      </c>
      <c r="C3" s="128" t="s">
        <v>307</v>
      </c>
      <c r="D3" s="126" t="s">
        <v>316</v>
      </c>
      <c r="E3" s="127" t="s">
        <v>841</v>
      </c>
      <c r="F3" s="128" t="s">
        <v>842</v>
      </c>
      <c r="G3" s="128" t="s">
        <v>843</v>
      </c>
    </row>
    <row r="4" spans="1:7" ht="24.95">
      <c r="A4" s="128"/>
      <c r="B4" s="128" t="s">
        <v>315</v>
      </c>
      <c r="C4" s="128" t="s">
        <v>307</v>
      </c>
      <c r="D4" s="126" t="s">
        <v>316</v>
      </c>
      <c r="E4" s="127" t="s">
        <v>844</v>
      </c>
      <c r="F4" s="128" t="s">
        <v>842</v>
      </c>
      <c r="G4" s="128" t="s">
        <v>843</v>
      </c>
    </row>
    <row r="5" spans="1:7" ht="37.5" customHeight="1">
      <c r="A5" s="128"/>
      <c r="B5" s="128" t="s">
        <v>315</v>
      </c>
      <c r="C5" s="128" t="s">
        <v>307</v>
      </c>
      <c r="D5" s="126" t="s">
        <v>316</v>
      </c>
      <c r="E5" s="127" t="s">
        <v>845</v>
      </c>
      <c r="F5" s="128" t="s">
        <v>842</v>
      </c>
      <c r="G5" s="128" t="s">
        <v>843</v>
      </c>
    </row>
    <row r="6" spans="1:7" ht="37.5">
      <c r="A6" s="128"/>
      <c r="B6" s="128" t="s">
        <v>315</v>
      </c>
      <c r="C6" s="128" t="s">
        <v>307</v>
      </c>
      <c r="D6" s="126" t="s">
        <v>316</v>
      </c>
      <c r="E6" s="127" t="s">
        <v>846</v>
      </c>
      <c r="F6" s="128" t="s">
        <v>842</v>
      </c>
      <c r="G6" s="128" t="s">
        <v>843</v>
      </c>
    </row>
    <row r="7" spans="1:7" ht="24.95">
      <c r="A7" s="128"/>
      <c r="B7" s="128" t="s">
        <v>325</v>
      </c>
      <c r="C7" s="128" t="s">
        <v>307</v>
      </c>
      <c r="D7" s="126" t="s">
        <v>326</v>
      </c>
      <c r="E7" s="127" t="s">
        <v>847</v>
      </c>
      <c r="F7" s="128" t="s">
        <v>842</v>
      </c>
      <c r="G7" s="128" t="s">
        <v>848</v>
      </c>
    </row>
    <row r="8" spans="1:7" ht="37.5" customHeight="1">
      <c r="A8" s="128"/>
      <c r="B8" s="128" t="s">
        <v>325</v>
      </c>
      <c r="C8" s="128" t="s">
        <v>307</v>
      </c>
      <c r="D8" s="126" t="s">
        <v>326</v>
      </c>
      <c r="E8" s="127" t="s">
        <v>849</v>
      </c>
      <c r="F8" s="128" t="s">
        <v>842</v>
      </c>
      <c r="G8" s="128" t="s">
        <v>843</v>
      </c>
    </row>
    <row r="9" spans="1:7" ht="24.95">
      <c r="A9" s="128"/>
      <c r="B9" s="128" t="s">
        <v>328</v>
      </c>
      <c r="C9" s="128" t="s">
        <v>304</v>
      </c>
      <c r="D9" s="126">
        <v>1080480</v>
      </c>
      <c r="E9" s="127" t="s">
        <v>850</v>
      </c>
      <c r="F9" s="128" t="s">
        <v>851</v>
      </c>
      <c r="G9" s="128" t="s">
        <v>852</v>
      </c>
    </row>
    <row r="10" spans="1:7" ht="32.450000000000003" customHeight="1">
      <c r="A10" s="128" t="s">
        <v>421</v>
      </c>
      <c r="B10" s="128" t="s">
        <v>325</v>
      </c>
      <c r="C10" s="128" t="s">
        <v>307</v>
      </c>
      <c r="D10" s="126" t="s">
        <v>326</v>
      </c>
      <c r="E10" s="127" t="s">
        <v>853</v>
      </c>
      <c r="F10" s="128" t="s">
        <v>842</v>
      </c>
      <c r="G10" s="128" t="s">
        <v>854</v>
      </c>
    </row>
    <row r="11" spans="1:7" ht="61.15" customHeight="1">
      <c r="A11" s="128" t="s">
        <v>275</v>
      </c>
      <c r="B11" s="128" t="s">
        <v>315</v>
      </c>
      <c r="C11" s="128" t="s">
        <v>307</v>
      </c>
      <c r="D11" s="126" t="s">
        <v>316</v>
      </c>
      <c r="E11" s="127" t="s">
        <v>855</v>
      </c>
      <c r="F11" s="128" t="s">
        <v>842</v>
      </c>
      <c r="G11" s="128" t="s">
        <v>856</v>
      </c>
    </row>
    <row r="12" spans="1:7" ht="24.95">
      <c r="A12" s="128" t="s">
        <v>200</v>
      </c>
      <c r="B12" s="128" t="s">
        <v>315</v>
      </c>
      <c r="C12" s="128" t="s">
        <v>307</v>
      </c>
      <c r="D12" s="126" t="s">
        <v>316</v>
      </c>
      <c r="E12" s="127" t="s">
        <v>857</v>
      </c>
      <c r="F12" s="128" t="s">
        <v>842</v>
      </c>
      <c r="G12" s="128" t="s">
        <v>858</v>
      </c>
    </row>
    <row r="13" spans="1:7" ht="37.5">
      <c r="A13" s="128" t="s">
        <v>462</v>
      </c>
      <c r="B13" s="128" t="s">
        <v>369</v>
      </c>
      <c r="C13" s="128" t="s">
        <v>307</v>
      </c>
      <c r="D13" s="126" t="s">
        <v>326</v>
      </c>
      <c r="E13" s="127" t="s">
        <v>859</v>
      </c>
      <c r="F13" s="128" t="s">
        <v>842</v>
      </c>
      <c r="G13" s="128" t="s">
        <v>858</v>
      </c>
    </row>
    <row r="14" spans="1:7" ht="37.5">
      <c r="A14" s="128"/>
      <c r="B14" s="128" t="s">
        <v>469</v>
      </c>
      <c r="C14" s="128" t="s">
        <v>307</v>
      </c>
      <c r="D14" s="126" t="s">
        <v>326</v>
      </c>
      <c r="E14" s="127" t="s">
        <v>860</v>
      </c>
      <c r="F14" s="128" t="s">
        <v>842</v>
      </c>
      <c r="G14" s="128" t="s">
        <v>861</v>
      </c>
    </row>
    <row r="15" spans="1:7" ht="24.95">
      <c r="A15" s="128"/>
      <c r="B15" s="128" t="s">
        <v>352</v>
      </c>
      <c r="C15" s="128" t="s">
        <v>307</v>
      </c>
      <c r="D15" s="126" t="s">
        <v>353</v>
      </c>
      <c r="E15" s="127" t="s">
        <v>862</v>
      </c>
      <c r="F15" s="128" t="s">
        <v>842</v>
      </c>
      <c r="G15" s="128" t="s">
        <v>863</v>
      </c>
    </row>
    <row r="16" spans="1:7" ht="24.95">
      <c r="A16" s="128"/>
      <c r="B16" s="128" t="s">
        <v>864</v>
      </c>
      <c r="C16" s="128" t="s">
        <v>307</v>
      </c>
      <c r="D16" s="126" t="s">
        <v>465</v>
      </c>
      <c r="E16" s="127" t="s">
        <v>865</v>
      </c>
      <c r="F16" s="128" t="s">
        <v>842</v>
      </c>
      <c r="G16" s="128" t="s">
        <v>863</v>
      </c>
    </row>
    <row r="17" spans="1:8" ht="37.5">
      <c r="A17" s="128" t="s">
        <v>285</v>
      </c>
      <c r="B17" s="128" t="s">
        <v>469</v>
      </c>
      <c r="C17" s="128" t="s">
        <v>307</v>
      </c>
      <c r="D17" s="126" t="s">
        <v>326</v>
      </c>
      <c r="E17" s="127" t="s">
        <v>866</v>
      </c>
      <c r="F17" s="128" t="s">
        <v>842</v>
      </c>
      <c r="G17" s="128" t="s">
        <v>863</v>
      </c>
    </row>
    <row r="18" spans="1:8" ht="33" customHeight="1">
      <c r="A18" s="125" t="s">
        <v>203</v>
      </c>
      <c r="B18" s="125" t="s">
        <v>511</v>
      </c>
      <c r="C18" s="128" t="s">
        <v>307</v>
      </c>
      <c r="D18" s="126" t="s">
        <v>512</v>
      </c>
      <c r="E18" s="125" t="s">
        <v>867</v>
      </c>
      <c r="F18" s="128" t="s">
        <v>842</v>
      </c>
      <c r="G18" s="128" t="s">
        <v>863</v>
      </c>
    </row>
    <row r="19" spans="1:8" ht="55.15" customHeight="1">
      <c r="A19" s="125"/>
      <c r="B19" s="125" t="s">
        <v>508</v>
      </c>
      <c r="C19" s="125" t="s">
        <v>307</v>
      </c>
      <c r="D19" s="126" t="s">
        <v>316</v>
      </c>
      <c r="E19" s="127" t="s">
        <v>868</v>
      </c>
      <c r="F19" s="128" t="s">
        <v>842</v>
      </c>
      <c r="G19" s="128" t="s">
        <v>869</v>
      </c>
    </row>
    <row r="20" spans="1:8" ht="57" customHeight="1">
      <c r="A20" s="134" t="s">
        <v>217</v>
      </c>
      <c r="B20" s="135" t="s">
        <v>537</v>
      </c>
      <c r="C20" s="134" t="s">
        <v>307</v>
      </c>
      <c r="D20" s="135" t="s">
        <v>512</v>
      </c>
      <c r="E20" s="134" t="s">
        <v>778</v>
      </c>
      <c r="F20" s="134" t="s">
        <v>842</v>
      </c>
      <c r="G20" s="136" t="s">
        <v>870</v>
      </c>
    </row>
    <row r="21" spans="1:8" ht="64.5" customHeight="1">
      <c r="A21" s="125"/>
      <c r="B21" s="126" t="s">
        <v>545</v>
      </c>
      <c r="C21" s="125" t="s">
        <v>307</v>
      </c>
      <c r="D21" s="125" t="s">
        <v>339</v>
      </c>
      <c r="E21" s="125" t="s">
        <v>871</v>
      </c>
      <c r="F21" s="128" t="s">
        <v>842</v>
      </c>
      <c r="G21" s="128" t="s">
        <v>872</v>
      </c>
    </row>
    <row r="22" spans="1:8" ht="37.5">
      <c r="A22" s="125" t="s">
        <v>221</v>
      </c>
      <c r="B22" s="126" t="s">
        <v>315</v>
      </c>
      <c r="C22" s="125" t="s">
        <v>307</v>
      </c>
      <c r="D22" s="125" t="s">
        <v>316</v>
      </c>
      <c r="E22" s="137" t="s">
        <v>873</v>
      </c>
      <c r="F22" s="125" t="s">
        <v>842</v>
      </c>
      <c r="G22" s="128" t="s">
        <v>874</v>
      </c>
    </row>
    <row r="23" spans="1:8">
      <c r="A23" s="128" t="s">
        <v>224</v>
      </c>
      <c r="B23" s="126" t="s">
        <v>563</v>
      </c>
      <c r="C23" s="125" t="s">
        <v>304</v>
      </c>
      <c r="D23" s="126">
        <v>4723161</v>
      </c>
      <c r="E23" s="125" t="s">
        <v>875</v>
      </c>
      <c r="F23" s="125" t="s">
        <v>876</v>
      </c>
      <c r="G23" s="128" t="s">
        <v>877</v>
      </c>
    </row>
    <row r="24" spans="1:8" ht="24.95">
      <c r="A24" s="125"/>
      <c r="B24" s="126" t="s">
        <v>387</v>
      </c>
      <c r="C24" s="125" t="s">
        <v>307</v>
      </c>
      <c r="D24" s="128" t="s">
        <v>388</v>
      </c>
      <c r="E24" s="127" t="s">
        <v>878</v>
      </c>
      <c r="F24" s="125" t="s">
        <v>842</v>
      </c>
      <c r="G24" s="128" t="s">
        <v>879</v>
      </c>
      <c r="H24" s="125"/>
    </row>
    <row r="25" spans="1:8" ht="24.95">
      <c r="A25" s="125"/>
      <c r="B25" s="126" t="s">
        <v>558</v>
      </c>
      <c r="C25" s="128" t="s">
        <v>307</v>
      </c>
      <c r="D25" s="128" t="s">
        <v>559</v>
      </c>
      <c r="E25" s="127" t="s">
        <v>880</v>
      </c>
      <c r="F25" s="125" t="s">
        <v>842</v>
      </c>
      <c r="G25" s="128" t="s">
        <v>877</v>
      </c>
    </row>
    <row r="28" spans="1:8">
      <c r="E28"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0EEFE-AE4B-4ECD-90A2-96D67C2D31A0}">
  <sheetPr>
    <outlinePr summaryBelow="0" summaryRight="0"/>
  </sheetPr>
  <dimension ref="A1:H2"/>
  <sheetViews>
    <sheetView workbookViewId="0">
      <selection activeCell="F23" sqref="F23"/>
    </sheetView>
  </sheetViews>
  <sheetFormatPr defaultColWidth="12.42578125" defaultRowHeight="15.75" customHeight="1"/>
  <cols>
    <col min="1" max="1" width="15.42578125" customWidth="1"/>
    <col min="2" max="2" width="23.7109375" customWidth="1"/>
    <col min="3" max="3" width="16.7109375" customWidth="1"/>
    <col min="4" max="4" width="14.7109375" customWidth="1"/>
    <col min="5" max="5" width="16.42578125" style="13" customWidth="1"/>
    <col min="6" max="6" width="15" style="10" customWidth="1"/>
    <col min="7" max="7" width="20.140625" customWidth="1"/>
    <col min="8" max="8" width="25.7109375" customWidth="1"/>
  </cols>
  <sheetData>
    <row r="1" spans="1:8" ht="12.95">
      <c r="A1" s="3" t="s">
        <v>294</v>
      </c>
      <c r="B1" s="4"/>
      <c r="C1" s="4"/>
      <c r="D1" s="4"/>
      <c r="E1" s="20"/>
      <c r="F1" s="6"/>
      <c r="G1" s="4"/>
    </row>
    <row r="2" spans="1:8" ht="39">
      <c r="A2" s="7" t="s">
        <v>835</v>
      </c>
      <c r="B2" s="8" t="s">
        <v>296</v>
      </c>
      <c r="C2" s="32" t="s">
        <v>297</v>
      </c>
      <c r="D2" s="32" t="s">
        <v>298</v>
      </c>
      <c r="E2" s="21" t="s">
        <v>299</v>
      </c>
      <c r="F2" s="22" t="s">
        <v>300</v>
      </c>
      <c r="G2" s="8" t="s">
        <v>301</v>
      </c>
      <c r="H2" s="8" t="s">
        <v>52</v>
      </c>
    </row>
  </sheetData>
  <pageMargins left="0" right="0" top="0" bottom="0"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DDCE-9B16-470F-B1D4-5AAA25EE1DC5}">
  <dimension ref="A1:F2"/>
  <sheetViews>
    <sheetView workbookViewId="0"/>
  </sheetViews>
  <sheetFormatPr defaultColWidth="11.42578125" defaultRowHeight="12.6"/>
  <cols>
    <col min="1" max="1" width="17.42578125" customWidth="1"/>
    <col min="2" max="2" width="50.28515625" style="27" customWidth="1"/>
    <col min="3" max="3" width="21.42578125" style="27" customWidth="1"/>
    <col min="4" max="4" width="17.28515625" style="27" customWidth="1"/>
    <col min="5" max="5" width="21.28515625" style="27" customWidth="1"/>
    <col min="6" max="6" width="42.42578125" style="27" customWidth="1"/>
  </cols>
  <sheetData>
    <row r="1" spans="1:6" ht="26.1">
      <c r="A1" s="81" t="s">
        <v>295</v>
      </c>
      <c r="B1" s="81" t="s">
        <v>611</v>
      </c>
      <c r="C1" s="81" t="s">
        <v>612</v>
      </c>
      <c r="D1" s="81" t="s">
        <v>881</v>
      </c>
      <c r="E1" s="81" t="s">
        <v>614</v>
      </c>
      <c r="F1" s="81" t="s">
        <v>882</v>
      </c>
    </row>
    <row r="2" spans="1:6">
      <c r="B2"/>
      <c r="C2"/>
      <c r="D2"/>
      <c r="E2"/>
      <c r="F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ACC7D-043B-4433-B380-F6A410B4ED9E}">
  <sheetPr>
    <outlinePr summaryBelow="0" summaryRight="0"/>
  </sheetPr>
  <dimension ref="A1:L163"/>
  <sheetViews>
    <sheetView topLeftCell="A33" workbookViewId="0">
      <selection activeCell="E46" sqref="E46"/>
    </sheetView>
  </sheetViews>
  <sheetFormatPr defaultColWidth="12.42578125" defaultRowHeight="15.75" customHeight="1"/>
  <cols>
    <col min="1" max="1" width="13.7109375" customWidth="1"/>
    <col min="2" max="2" width="32.28515625" bestFit="1" customWidth="1"/>
    <col min="3" max="3" width="16.42578125" customWidth="1"/>
    <col min="4" max="4" width="17.42578125" customWidth="1"/>
    <col min="5" max="5" width="16.42578125" customWidth="1"/>
    <col min="6" max="6" width="15" customWidth="1"/>
    <col min="7" max="7" width="17.140625" customWidth="1"/>
    <col min="8" max="9" width="32.42578125" bestFit="1" customWidth="1"/>
  </cols>
  <sheetData>
    <row r="1" spans="1:12" ht="15.75" customHeight="1">
      <c r="A1" s="3" t="s">
        <v>294</v>
      </c>
      <c r="B1" s="4"/>
      <c r="C1" s="4"/>
      <c r="D1" s="4"/>
      <c r="E1" s="5"/>
      <c r="F1" s="6"/>
      <c r="G1" s="4"/>
    </row>
    <row r="2" spans="1:12" ht="15.75" customHeight="1">
      <c r="A2" s="7" t="s">
        <v>835</v>
      </c>
      <c r="B2" s="8" t="s">
        <v>883</v>
      </c>
      <c r="C2" s="8" t="s">
        <v>884</v>
      </c>
      <c r="D2" s="8" t="s">
        <v>885</v>
      </c>
      <c r="E2" s="8" t="s">
        <v>299</v>
      </c>
      <c r="F2" s="8" t="s">
        <v>300</v>
      </c>
      <c r="G2" s="8" t="s">
        <v>301</v>
      </c>
      <c r="H2" s="8" t="s">
        <v>52</v>
      </c>
    </row>
    <row r="3" spans="1:12" ht="15.75" customHeight="1">
      <c r="A3" s="23">
        <v>14584365</v>
      </c>
      <c r="B3" t="s">
        <v>66</v>
      </c>
      <c r="C3" s="11" t="s">
        <v>304</v>
      </c>
      <c r="D3">
        <v>247333</v>
      </c>
      <c r="E3" s="12">
        <v>4</v>
      </c>
      <c r="G3">
        <v>4</v>
      </c>
    </row>
    <row r="4" spans="1:12" ht="15.75" customHeight="1">
      <c r="B4" t="s">
        <v>816</v>
      </c>
      <c r="C4" t="s">
        <v>886</v>
      </c>
      <c r="D4">
        <v>5660</v>
      </c>
      <c r="E4" s="12">
        <v>1</v>
      </c>
      <c r="G4">
        <v>1</v>
      </c>
      <c r="J4" s="37" t="s">
        <v>887</v>
      </c>
      <c r="K4" s="31"/>
      <c r="L4" s="38"/>
    </row>
    <row r="5" spans="1:12" ht="15.75" customHeight="1">
      <c r="B5" t="s">
        <v>888</v>
      </c>
      <c r="C5" t="s">
        <v>304</v>
      </c>
      <c r="D5">
        <v>766601</v>
      </c>
      <c r="E5" s="12">
        <v>1</v>
      </c>
      <c r="G5">
        <v>1</v>
      </c>
      <c r="J5" s="39" t="s">
        <v>889</v>
      </c>
      <c r="L5" s="40"/>
    </row>
    <row r="6" spans="1:12" ht="15.75" customHeight="1">
      <c r="B6" t="s">
        <v>306</v>
      </c>
      <c r="C6" t="s">
        <v>307</v>
      </c>
      <c r="D6" t="s">
        <v>308</v>
      </c>
      <c r="E6" s="12">
        <v>1</v>
      </c>
      <c r="G6">
        <v>1</v>
      </c>
      <c r="J6" s="39" t="s">
        <v>890</v>
      </c>
      <c r="L6" s="40"/>
    </row>
    <row r="7" spans="1:12" ht="15.75" customHeight="1">
      <c r="B7" t="s">
        <v>309</v>
      </c>
      <c r="C7" t="s">
        <v>304</v>
      </c>
      <c r="D7">
        <v>770315</v>
      </c>
      <c r="E7" s="12">
        <v>7</v>
      </c>
      <c r="G7">
        <v>7</v>
      </c>
      <c r="J7" s="39" t="s">
        <v>891</v>
      </c>
      <c r="L7" s="40"/>
    </row>
    <row r="8" spans="1:12" ht="15.75" customHeight="1">
      <c r="B8" t="s">
        <v>66</v>
      </c>
      <c r="C8" t="s">
        <v>886</v>
      </c>
      <c r="D8">
        <v>9615</v>
      </c>
      <c r="E8" s="12">
        <v>4</v>
      </c>
      <c r="G8">
        <v>4</v>
      </c>
      <c r="J8" s="41"/>
      <c r="L8" s="40"/>
    </row>
    <row r="9" spans="1:12" ht="15.75" customHeight="1">
      <c r="B9" t="s">
        <v>310</v>
      </c>
      <c r="C9" t="s">
        <v>307</v>
      </c>
      <c r="D9" t="s">
        <v>311</v>
      </c>
      <c r="E9" s="12">
        <v>1</v>
      </c>
      <c r="G9">
        <v>1</v>
      </c>
      <c r="J9" s="41"/>
      <c r="L9" s="40"/>
    </row>
    <row r="10" spans="1:12" ht="15.75" customHeight="1">
      <c r="B10" t="s">
        <v>312</v>
      </c>
      <c r="C10" t="s">
        <v>886</v>
      </c>
      <c r="D10">
        <v>37616</v>
      </c>
      <c r="E10" s="12">
        <v>1</v>
      </c>
      <c r="G10">
        <v>1</v>
      </c>
      <c r="J10" s="41" t="s">
        <v>892</v>
      </c>
      <c r="L10" s="40"/>
    </row>
    <row r="11" spans="1:12" ht="15.75" customHeight="1">
      <c r="B11" t="s">
        <v>312</v>
      </c>
      <c r="C11" t="s">
        <v>304</v>
      </c>
      <c r="D11">
        <v>507125</v>
      </c>
      <c r="E11" s="12">
        <v>1</v>
      </c>
      <c r="G11">
        <v>1</v>
      </c>
      <c r="J11" s="41" t="s">
        <v>893</v>
      </c>
      <c r="L11" s="40"/>
    </row>
    <row r="12" spans="1:12" ht="15.75" customHeight="1">
      <c r="B12" t="s">
        <v>330</v>
      </c>
      <c r="C12" t="s">
        <v>886</v>
      </c>
      <c r="D12">
        <v>9605</v>
      </c>
      <c r="E12" s="12">
        <v>1</v>
      </c>
      <c r="G12">
        <v>1</v>
      </c>
      <c r="I12">
        <v>2233</v>
      </c>
      <c r="J12" s="41" t="s">
        <v>894</v>
      </c>
      <c r="L12" s="40"/>
    </row>
    <row r="13" spans="1:12" ht="15.75" customHeight="1">
      <c r="A13" s="26"/>
      <c r="B13" s="26"/>
      <c r="C13" s="26"/>
      <c r="D13" s="26"/>
      <c r="E13" s="26"/>
      <c r="F13" s="26"/>
      <c r="G13" s="26"/>
      <c r="H13" s="26"/>
      <c r="J13" s="41" t="s">
        <v>895</v>
      </c>
      <c r="L13" s="40"/>
    </row>
    <row r="14" spans="1:12" ht="15.75" customHeight="1">
      <c r="A14" s="24">
        <v>9880937</v>
      </c>
      <c r="B14" t="s">
        <v>399</v>
      </c>
      <c r="C14" t="s">
        <v>307</v>
      </c>
      <c r="D14" t="s">
        <v>400</v>
      </c>
      <c r="E14" s="12">
        <v>2</v>
      </c>
      <c r="G14">
        <v>2</v>
      </c>
      <c r="J14" s="41" t="s">
        <v>896</v>
      </c>
      <c r="L14" s="40"/>
    </row>
    <row r="15" spans="1:12" ht="15.75" customHeight="1">
      <c r="B15" t="s">
        <v>567</v>
      </c>
      <c r="C15" t="s">
        <v>886</v>
      </c>
      <c r="D15">
        <v>745</v>
      </c>
      <c r="E15" s="12">
        <v>7</v>
      </c>
      <c r="G15">
        <v>7</v>
      </c>
      <c r="J15" s="41" t="s">
        <v>897</v>
      </c>
      <c r="L15" s="40"/>
    </row>
    <row r="16" spans="1:12" ht="15.75" customHeight="1">
      <c r="B16" t="s">
        <v>354</v>
      </c>
      <c r="C16" t="s">
        <v>886</v>
      </c>
      <c r="D16">
        <v>9913</v>
      </c>
      <c r="E16" s="12">
        <v>6</v>
      </c>
      <c r="G16">
        <v>6</v>
      </c>
      <c r="J16" s="42" t="s">
        <v>898</v>
      </c>
      <c r="K16" s="18"/>
      <c r="L16" s="43"/>
    </row>
    <row r="17" spans="1:8" ht="15.75" customHeight="1">
      <c r="B17" t="s">
        <v>354</v>
      </c>
      <c r="C17" t="s">
        <v>304</v>
      </c>
      <c r="D17">
        <v>490099</v>
      </c>
      <c r="E17" s="12">
        <v>6</v>
      </c>
      <c r="G17">
        <v>6</v>
      </c>
    </row>
    <row r="18" spans="1:8" ht="15.75" customHeight="1">
      <c r="B18" t="s">
        <v>567</v>
      </c>
      <c r="C18" t="s">
        <v>304</v>
      </c>
      <c r="D18">
        <v>623687</v>
      </c>
      <c r="E18" s="12">
        <v>4</v>
      </c>
      <c r="G18">
        <v>4</v>
      </c>
    </row>
    <row r="19" spans="1:8" ht="15.75" customHeight="1">
      <c r="B19" t="s">
        <v>568</v>
      </c>
      <c r="C19" t="s">
        <v>886</v>
      </c>
      <c r="D19">
        <v>747</v>
      </c>
      <c r="E19" s="12">
        <v>1</v>
      </c>
      <c r="G19">
        <v>1</v>
      </c>
    </row>
    <row r="20" spans="1:8" ht="15.75" customHeight="1">
      <c r="B20" t="s">
        <v>568</v>
      </c>
      <c r="C20" t="s">
        <v>304</v>
      </c>
      <c r="D20">
        <v>623689</v>
      </c>
      <c r="E20" s="12">
        <v>2</v>
      </c>
      <c r="F20" s="10"/>
      <c r="G20">
        <v>2</v>
      </c>
    </row>
    <row r="21" spans="1:8" ht="15.75" customHeight="1">
      <c r="B21" t="s">
        <v>569</v>
      </c>
      <c r="C21" t="s">
        <v>304</v>
      </c>
      <c r="D21">
        <v>407258</v>
      </c>
      <c r="E21" s="12">
        <v>2</v>
      </c>
      <c r="F21" s="10"/>
      <c r="G21">
        <v>2</v>
      </c>
    </row>
    <row r="22" spans="1:8" ht="15.75" customHeight="1">
      <c r="A22" s="25"/>
      <c r="B22" s="25"/>
      <c r="C22" s="25"/>
      <c r="D22" s="25"/>
      <c r="E22" s="25"/>
      <c r="F22" s="53"/>
      <c r="G22" s="25"/>
      <c r="H22" s="25"/>
    </row>
    <row r="23" spans="1:8" ht="15.75" customHeight="1">
      <c r="A23" t="s">
        <v>258</v>
      </c>
      <c r="B23" t="s">
        <v>335</v>
      </c>
      <c r="C23" t="s">
        <v>304</v>
      </c>
      <c r="D23">
        <v>269666</v>
      </c>
      <c r="E23" s="12">
        <v>1</v>
      </c>
      <c r="F23" s="10"/>
      <c r="G23">
        <v>1</v>
      </c>
      <c r="H23" t="s">
        <v>899</v>
      </c>
    </row>
    <row r="24" spans="1:8" ht="15.75" customHeight="1">
      <c r="B24" t="s">
        <v>573</v>
      </c>
      <c r="C24" t="s">
        <v>304</v>
      </c>
      <c r="D24">
        <v>770315</v>
      </c>
      <c r="E24" s="12">
        <v>1</v>
      </c>
      <c r="F24" s="10"/>
      <c r="G24">
        <v>1</v>
      </c>
    </row>
    <row r="25" spans="1:8" ht="15.75" customHeight="1">
      <c r="A25" s="24"/>
      <c r="B25" t="s">
        <v>336</v>
      </c>
      <c r="C25" t="s">
        <v>307</v>
      </c>
      <c r="D25" t="s">
        <v>337</v>
      </c>
      <c r="E25" s="12">
        <v>1</v>
      </c>
      <c r="F25" s="10"/>
      <c r="G25">
        <v>1</v>
      </c>
    </row>
    <row r="26" spans="1:8" ht="15.75" customHeight="1">
      <c r="A26" s="24"/>
      <c r="B26" t="s">
        <v>338</v>
      </c>
      <c r="C26" t="s">
        <v>307</v>
      </c>
      <c r="D26" t="s">
        <v>339</v>
      </c>
      <c r="E26" s="12">
        <v>1</v>
      </c>
      <c r="F26" s="10"/>
      <c r="G26">
        <v>1</v>
      </c>
    </row>
    <row r="27" spans="1:8" ht="15.75" customHeight="1">
      <c r="A27" s="47"/>
      <c r="B27" s="47" t="s">
        <v>342</v>
      </c>
      <c r="C27" s="47" t="s">
        <v>304</v>
      </c>
      <c r="D27" s="47">
        <v>122021</v>
      </c>
      <c r="E27" s="47"/>
      <c r="F27" s="51">
        <v>3</v>
      </c>
      <c r="G27" s="47">
        <v>3</v>
      </c>
      <c r="H27" s="47" t="s">
        <v>900</v>
      </c>
    </row>
    <row r="28" spans="1:8" ht="15.75" customHeight="1">
      <c r="A28" s="47"/>
      <c r="B28" s="47" t="s">
        <v>340</v>
      </c>
      <c r="C28" s="47" t="s">
        <v>304</v>
      </c>
      <c r="D28" s="47">
        <v>3391751</v>
      </c>
      <c r="E28" s="47"/>
      <c r="F28" s="51">
        <v>1</v>
      </c>
      <c r="G28" s="47">
        <v>1</v>
      </c>
      <c r="H28" s="47" t="s">
        <v>901</v>
      </c>
    </row>
    <row r="29" spans="1:8" ht="15.75" customHeight="1">
      <c r="B29" t="s">
        <v>344</v>
      </c>
      <c r="C29" s="11" t="s">
        <v>304</v>
      </c>
      <c r="D29">
        <v>269670</v>
      </c>
      <c r="E29" s="13">
        <v>2</v>
      </c>
      <c r="F29" s="10"/>
      <c r="G29">
        <v>2</v>
      </c>
    </row>
    <row r="30" spans="1:8" ht="15.75" customHeight="1">
      <c r="A30" s="26"/>
      <c r="B30" s="26"/>
      <c r="C30" s="26"/>
      <c r="D30" s="26"/>
      <c r="E30" s="48"/>
      <c r="F30" s="52"/>
      <c r="G30" s="26"/>
      <c r="H30" s="26"/>
    </row>
    <row r="31" spans="1:8" ht="15.75" customHeight="1">
      <c r="A31" s="24">
        <v>21688649</v>
      </c>
      <c r="B31" s="14">
        <v>0</v>
      </c>
      <c r="C31">
        <v>0</v>
      </c>
      <c r="D31">
        <v>0</v>
      </c>
      <c r="E31" s="13">
        <v>0</v>
      </c>
      <c r="F31" s="10">
        <v>0</v>
      </c>
      <c r="G31">
        <v>0</v>
      </c>
      <c r="H31" s="11" t="s">
        <v>902</v>
      </c>
    </row>
    <row r="32" spans="1:8" ht="15.75" customHeight="1">
      <c r="A32" s="25"/>
      <c r="B32" s="25"/>
      <c r="C32" s="25"/>
      <c r="D32" s="25"/>
      <c r="E32" s="49"/>
      <c r="F32" s="53"/>
      <c r="G32" s="25"/>
      <c r="H32" s="25"/>
    </row>
    <row r="33" spans="1:8" ht="15.75" customHeight="1">
      <c r="A33" s="24">
        <v>9762293</v>
      </c>
      <c r="B33" t="s">
        <v>570</v>
      </c>
      <c r="C33" s="11" t="s">
        <v>304</v>
      </c>
      <c r="D33">
        <v>870349</v>
      </c>
      <c r="E33" s="13">
        <v>1</v>
      </c>
      <c r="F33" s="10"/>
      <c r="G33">
        <v>1</v>
      </c>
      <c r="H33" s="11" t="s">
        <v>903</v>
      </c>
    </row>
    <row r="34" spans="1:8" ht="15.75" customHeight="1">
      <c r="B34" t="s">
        <v>306</v>
      </c>
      <c r="C34" t="s">
        <v>307</v>
      </c>
      <c r="D34" t="s">
        <v>308</v>
      </c>
      <c r="E34" s="13">
        <v>1</v>
      </c>
      <c r="F34" s="10"/>
      <c r="G34">
        <v>1</v>
      </c>
    </row>
    <row r="35" spans="1:8" ht="15.75" customHeight="1">
      <c r="A35" s="26"/>
      <c r="B35" s="26"/>
      <c r="C35" s="26"/>
      <c r="D35" s="26"/>
      <c r="E35" s="48"/>
      <c r="F35" s="52"/>
      <c r="G35" s="26"/>
      <c r="H35" s="26"/>
    </row>
    <row r="36" spans="1:8" ht="15.75" customHeight="1">
      <c r="A36" s="19" t="s">
        <v>228</v>
      </c>
      <c r="B36" t="s">
        <v>325</v>
      </c>
      <c r="C36" s="11" t="s">
        <v>904</v>
      </c>
      <c r="D36" t="s">
        <v>326</v>
      </c>
      <c r="E36" s="13">
        <v>5</v>
      </c>
      <c r="F36" s="10"/>
      <c r="G36">
        <v>5</v>
      </c>
      <c r="H36" s="11" t="s">
        <v>571</v>
      </c>
    </row>
    <row r="37" spans="1:8" ht="15.75" customHeight="1">
      <c r="B37" t="s">
        <v>572</v>
      </c>
      <c r="C37" s="11" t="s">
        <v>304</v>
      </c>
      <c r="D37">
        <v>7999370</v>
      </c>
      <c r="E37" s="13">
        <v>2</v>
      </c>
      <c r="F37" s="10"/>
      <c r="G37">
        <v>2</v>
      </c>
    </row>
    <row r="38" spans="1:8" ht="15.75" customHeight="1">
      <c r="B38" t="s">
        <v>573</v>
      </c>
      <c r="C38" s="11" t="s">
        <v>304</v>
      </c>
      <c r="D38">
        <v>770315</v>
      </c>
      <c r="E38" s="13">
        <v>4</v>
      </c>
      <c r="F38" s="10"/>
      <c r="G38">
        <v>4</v>
      </c>
    </row>
    <row r="39" spans="1:8" ht="15.75" customHeight="1">
      <c r="B39" t="s">
        <v>478</v>
      </c>
      <c r="C39" t="s">
        <v>307</v>
      </c>
      <c r="D39" t="s">
        <v>308</v>
      </c>
      <c r="E39" s="13">
        <v>1</v>
      </c>
      <c r="F39" s="10"/>
      <c r="G39">
        <v>1</v>
      </c>
    </row>
    <row r="40" spans="1:8" ht="15.75" customHeight="1">
      <c r="B40" t="s">
        <v>574</v>
      </c>
      <c r="C40" s="11" t="s">
        <v>307</v>
      </c>
      <c r="D40" t="s">
        <v>575</v>
      </c>
      <c r="E40" s="13">
        <v>2</v>
      </c>
      <c r="F40" s="10"/>
      <c r="G40">
        <v>2</v>
      </c>
    </row>
    <row r="41" spans="1:8" ht="15.75" customHeight="1">
      <c r="B41" t="s">
        <v>485</v>
      </c>
      <c r="C41" s="11" t="s">
        <v>307</v>
      </c>
      <c r="D41" t="s">
        <v>316</v>
      </c>
      <c r="E41" s="13">
        <v>2</v>
      </c>
      <c r="F41" s="10"/>
      <c r="G41">
        <v>2</v>
      </c>
      <c r="H41" s="11" t="s">
        <v>905</v>
      </c>
    </row>
    <row r="42" spans="1:8" ht="15.75" customHeight="1">
      <c r="B42" t="s">
        <v>576</v>
      </c>
      <c r="C42" s="11" t="s">
        <v>307</v>
      </c>
      <c r="D42" t="s">
        <v>577</v>
      </c>
      <c r="E42" s="13">
        <v>1</v>
      </c>
      <c r="F42" s="10"/>
      <c r="G42">
        <v>1</v>
      </c>
    </row>
    <row r="43" spans="1:8" ht="15.75" customHeight="1">
      <c r="A43" s="25"/>
      <c r="B43" s="25"/>
      <c r="C43" s="25"/>
      <c r="D43" s="25"/>
      <c r="E43" s="49"/>
      <c r="F43" s="53"/>
      <c r="G43" s="25"/>
      <c r="H43" s="25"/>
    </row>
    <row r="44" spans="1:8" ht="15.75" customHeight="1">
      <c r="A44" s="9" t="s">
        <v>231</v>
      </c>
      <c r="B44" t="s">
        <v>344</v>
      </c>
      <c r="C44" s="11" t="s">
        <v>304</v>
      </c>
      <c r="D44">
        <v>269670</v>
      </c>
      <c r="E44" s="13">
        <v>1</v>
      </c>
      <c r="F44" s="10"/>
      <c r="G44">
        <v>1</v>
      </c>
      <c r="H44" t="s">
        <v>578</v>
      </c>
    </row>
    <row r="45" spans="1:8" ht="15.75" customHeight="1">
      <c r="B45" t="s">
        <v>579</v>
      </c>
      <c r="C45" s="11" t="s">
        <v>304</v>
      </c>
      <c r="D45">
        <v>6373386</v>
      </c>
      <c r="E45" s="13">
        <v>1</v>
      </c>
      <c r="F45" s="10"/>
      <c r="G45">
        <v>1</v>
      </c>
    </row>
    <row r="46" spans="1:8" ht="15.75" customHeight="1">
      <c r="B46" t="s">
        <v>572</v>
      </c>
      <c r="C46" s="11" t="s">
        <v>304</v>
      </c>
      <c r="D46">
        <v>7999370</v>
      </c>
      <c r="E46" s="13">
        <v>1</v>
      </c>
      <c r="F46" s="10"/>
      <c r="G46">
        <v>1</v>
      </c>
    </row>
    <row r="47" spans="1:8" ht="15.75" customHeight="1">
      <c r="B47" t="s">
        <v>306</v>
      </c>
      <c r="C47" s="11" t="s">
        <v>307</v>
      </c>
      <c r="D47" t="s">
        <v>308</v>
      </c>
      <c r="E47" s="13">
        <v>2</v>
      </c>
      <c r="F47" s="10"/>
      <c r="G47">
        <v>2</v>
      </c>
    </row>
    <row r="48" spans="1:8" ht="15.75" customHeight="1">
      <c r="B48" t="s">
        <v>399</v>
      </c>
      <c r="C48" s="11" t="s">
        <v>307</v>
      </c>
      <c r="D48" t="s">
        <v>400</v>
      </c>
      <c r="E48" s="13">
        <v>1</v>
      </c>
      <c r="F48" s="10"/>
      <c r="G48">
        <v>1</v>
      </c>
    </row>
    <row r="49" spans="1:8" ht="15.75" customHeight="1">
      <c r="A49" s="26"/>
      <c r="B49" s="26"/>
      <c r="C49" s="26"/>
      <c r="D49" s="26"/>
      <c r="E49" s="48"/>
      <c r="F49" s="52"/>
      <c r="G49" s="26"/>
      <c r="H49" s="26"/>
    </row>
    <row r="50" spans="1:8" ht="15.75" customHeight="1">
      <c r="A50" s="19" t="s">
        <v>233</v>
      </c>
      <c r="B50" t="s">
        <v>309</v>
      </c>
      <c r="C50" s="11" t="s">
        <v>304</v>
      </c>
      <c r="D50">
        <v>770315</v>
      </c>
      <c r="E50" s="13">
        <v>3</v>
      </c>
      <c r="F50" s="10"/>
      <c r="G50">
        <v>3</v>
      </c>
      <c r="H50" s="11" t="s">
        <v>581</v>
      </c>
    </row>
    <row r="51" spans="1:8" ht="15.75" customHeight="1">
      <c r="B51" t="s">
        <v>306</v>
      </c>
      <c r="C51" s="11" t="s">
        <v>307</v>
      </c>
      <c r="D51" t="s">
        <v>308</v>
      </c>
      <c r="E51" s="13">
        <v>6</v>
      </c>
      <c r="F51" s="10"/>
      <c r="G51">
        <v>6</v>
      </c>
    </row>
    <row r="52" spans="1:8" ht="15.75" customHeight="1">
      <c r="B52" t="s">
        <v>582</v>
      </c>
      <c r="C52" s="11" t="s">
        <v>307</v>
      </c>
      <c r="D52" t="s">
        <v>583</v>
      </c>
      <c r="E52" s="13">
        <v>4</v>
      </c>
      <c r="F52" s="10"/>
      <c r="G52">
        <v>4</v>
      </c>
    </row>
    <row r="53" spans="1:8" ht="15.75" customHeight="1">
      <c r="A53" s="47"/>
      <c r="B53" s="47" t="s">
        <v>467</v>
      </c>
      <c r="C53" s="47" t="s">
        <v>307</v>
      </c>
      <c r="D53" s="47" t="s">
        <v>430</v>
      </c>
      <c r="E53" s="50"/>
      <c r="F53" s="51">
        <v>1</v>
      </c>
      <c r="G53" s="47">
        <v>1</v>
      </c>
      <c r="H53" s="47" t="s">
        <v>584</v>
      </c>
    </row>
    <row r="54" spans="1:8" ht="15.75" customHeight="1">
      <c r="B54" t="s">
        <v>310</v>
      </c>
      <c r="C54" s="11" t="s">
        <v>307</v>
      </c>
      <c r="D54" t="s">
        <v>311</v>
      </c>
      <c r="E54" s="13">
        <v>1</v>
      </c>
      <c r="F54" s="10"/>
      <c r="G54">
        <v>1</v>
      </c>
    </row>
    <row r="55" spans="1:8" ht="15.75" customHeight="1">
      <c r="B55" t="s">
        <v>585</v>
      </c>
      <c r="C55" s="11" t="s">
        <v>307</v>
      </c>
      <c r="D55" t="s">
        <v>365</v>
      </c>
      <c r="E55" s="13">
        <v>1</v>
      </c>
      <c r="F55" s="10"/>
      <c r="G55">
        <v>1</v>
      </c>
    </row>
    <row r="56" spans="1:8" ht="15.75" customHeight="1">
      <c r="A56" s="25"/>
      <c r="B56" s="25"/>
      <c r="C56" s="25"/>
      <c r="D56" s="25"/>
      <c r="E56" s="25"/>
      <c r="F56" s="53"/>
      <c r="G56" s="25"/>
      <c r="H56" s="25"/>
    </row>
    <row r="57" spans="1:8" ht="15.75" customHeight="1">
      <c r="A57" s="19" t="s">
        <v>235</v>
      </c>
      <c r="B57" t="s">
        <v>309</v>
      </c>
      <c r="C57" s="11" t="s">
        <v>304</v>
      </c>
      <c r="D57">
        <v>770315</v>
      </c>
      <c r="E57" s="13">
        <v>1</v>
      </c>
      <c r="F57" s="10"/>
      <c r="G57">
        <v>1</v>
      </c>
      <c r="H57" s="11" t="s">
        <v>587</v>
      </c>
    </row>
    <row r="58" spans="1:8" ht="15.75" customHeight="1">
      <c r="B58" t="s">
        <v>368</v>
      </c>
      <c r="C58" s="11" t="s">
        <v>307</v>
      </c>
      <c r="D58" t="s">
        <v>308</v>
      </c>
      <c r="E58" s="13">
        <v>2</v>
      </c>
      <c r="F58" s="10"/>
      <c r="G58">
        <v>2</v>
      </c>
    </row>
    <row r="59" spans="1:8" ht="15.75" customHeight="1">
      <c r="A59" s="26"/>
      <c r="B59" s="26"/>
      <c r="C59" s="26"/>
      <c r="D59" s="26"/>
      <c r="E59" s="26"/>
      <c r="F59" s="52"/>
      <c r="G59" s="26"/>
      <c r="H59" s="26"/>
    </row>
    <row r="60" spans="1:8" ht="15.75" customHeight="1">
      <c r="A60" s="19" t="s">
        <v>236</v>
      </c>
      <c r="B60" t="s">
        <v>310</v>
      </c>
      <c r="C60" s="11" t="s">
        <v>307</v>
      </c>
      <c r="D60" t="s">
        <v>311</v>
      </c>
      <c r="E60" s="13">
        <v>1</v>
      </c>
      <c r="F60" s="10"/>
      <c r="G60">
        <v>1</v>
      </c>
      <c r="H60" s="11" t="s">
        <v>588</v>
      </c>
    </row>
    <row r="61" spans="1:8" ht="15.75" customHeight="1">
      <c r="B61" s="11" t="s">
        <v>589</v>
      </c>
      <c r="C61" s="11" t="s">
        <v>304</v>
      </c>
      <c r="D61">
        <v>490099</v>
      </c>
      <c r="E61" s="13">
        <v>2</v>
      </c>
      <c r="F61" s="10"/>
      <c r="G61">
        <v>2</v>
      </c>
    </row>
    <row r="62" spans="1:8" ht="15.75" customHeight="1">
      <c r="B62" t="s">
        <v>502</v>
      </c>
      <c r="C62" s="11" t="s">
        <v>304</v>
      </c>
      <c r="D62">
        <v>864593</v>
      </c>
      <c r="E62" s="13">
        <v>1</v>
      </c>
      <c r="F62" s="10"/>
      <c r="G62">
        <v>1</v>
      </c>
    </row>
    <row r="63" spans="1:8" ht="15.75" customHeight="1">
      <c r="B63" t="s">
        <v>384</v>
      </c>
      <c r="C63" s="11" t="s">
        <v>304</v>
      </c>
      <c r="D63">
        <v>730013</v>
      </c>
      <c r="E63" s="13">
        <v>1</v>
      </c>
      <c r="F63" s="10"/>
      <c r="G63">
        <v>1</v>
      </c>
    </row>
    <row r="64" spans="1:8" ht="15.75" customHeight="1">
      <c r="A64" s="47"/>
      <c r="B64" s="47" t="s">
        <v>590</v>
      </c>
      <c r="C64" s="47" t="s">
        <v>304</v>
      </c>
      <c r="D64" s="47">
        <v>7562543</v>
      </c>
      <c r="E64" s="47"/>
      <c r="F64" s="51">
        <v>2</v>
      </c>
      <c r="G64" s="54">
        <v>2</v>
      </c>
      <c r="H64" s="47" t="s">
        <v>591</v>
      </c>
    </row>
    <row r="65" spans="1:9" ht="15.75" customHeight="1">
      <c r="B65" t="s">
        <v>306</v>
      </c>
      <c r="C65" s="11" t="s">
        <v>307</v>
      </c>
      <c r="D65" t="s">
        <v>308</v>
      </c>
      <c r="E65" s="13">
        <v>1</v>
      </c>
      <c r="G65">
        <v>1</v>
      </c>
      <c r="H65" s="11" t="s">
        <v>906</v>
      </c>
    </row>
    <row r="66" spans="1:9" ht="15.75" customHeight="1">
      <c r="A66" s="25"/>
      <c r="B66" s="25"/>
      <c r="C66" s="25"/>
      <c r="D66" s="25"/>
      <c r="E66" s="25"/>
      <c r="F66" s="25"/>
      <c r="G66" s="25"/>
      <c r="H66" s="25"/>
    </row>
    <row r="67" spans="1:9" ht="15.75" customHeight="1">
      <c r="A67" s="47" t="s">
        <v>238</v>
      </c>
      <c r="B67" s="47" t="s">
        <v>590</v>
      </c>
      <c r="C67" s="47"/>
      <c r="D67" s="47">
        <v>7562543</v>
      </c>
      <c r="E67" s="47"/>
      <c r="F67" s="51">
        <v>1</v>
      </c>
      <c r="G67" s="47">
        <v>1</v>
      </c>
      <c r="H67" s="47" t="s">
        <v>906</v>
      </c>
      <c r="I67" s="11" t="s">
        <v>907</v>
      </c>
    </row>
    <row r="68" spans="1:9" ht="15.75" customHeight="1">
      <c r="A68" s="26"/>
      <c r="B68" s="26"/>
      <c r="C68" s="26"/>
      <c r="D68" s="26"/>
      <c r="E68" s="26"/>
      <c r="F68" s="26"/>
      <c r="G68" s="26"/>
      <c r="H68" s="26"/>
    </row>
    <row r="69" spans="1:9" ht="15.75" customHeight="1">
      <c r="A69" t="s">
        <v>908</v>
      </c>
      <c r="B69" t="s">
        <v>909</v>
      </c>
      <c r="C69" s="11" t="s">
        <v>304</v>
      </c>
      <c r="D69">
        <v>563166</v>
      </c>
      <c r="E69">
        <v>4</v>
      </c>
      <c r="G69">
        <v>4</v>
      </c>
    </row>
    <row r="70" spans="1:9" ht="15.75" customHeight="1">
      <c r="A70" s="25"/>
      <c r="B70" s="25"/>
      <c r="C70" s="25"/>
      <c r="D70" s="25"/>
      <c r="E70" s="25"/>
      <c r="F70" s="25"/>
      <c r="G70" s="25"/>
      <c r="H70" s="25"/>
    </row>
    <row r="71" spans="1:9" ht="15.75" customHeight="1">
      <c r="A71" s="11" t="s">
        <v>239</v>
      </c>
      <c r="B71" t="s">
        <v>482</v>
      </c>
      <c r="C71" s="11" t="s">
        <v>304</v>
      </c>
      <c r="D71">
        <v>3317</v>
      </c>
      <c r="E71">
        <v>2</v>
      </c>
      <c r="G71">
        <v>2</v>
      </c>
      <c r="I71" s="11" t="s">
        <v>910</v>
      </c>
    </row>
    <row r="72" spans="1:9" ht="15.75" customHeight="1">
      <c r="B72" t="s">
        <v>306</v>
      </c>
      <c r="C72" s="11" t="s">
        <v>307</v>
      </c>
      <c r="D72" t="s">
        <v>308</v>
      </c>
      <c r="E72">
        <v>5</v>
      </c>
      <c r="G72">
        <v>5</v>
      </c>
    </row>
    <row r="73" spans="1:9" ht="15.75" customHeight="1">
      <c r="B73" t="s">
        <v>140</v>
      </c>
      <c r="C73" s="11" t="s">
        <v>304</v>
      </c>
      <c r="D73">
        <v>153563</v>
      </c>
      <c r="E73">
        <v>5</v>
      </c>
      <c r="G73">
        <v>5</v>
      </c>
    </row>
    <row r="74" spans="1:9" ht="15.75" customHeight="1">
      <c r="B74" t="s">
        <v>310</v>
      </c>
      <c r="C74" s="11" t="s">
        <v>307</v>
      </c>
      <c r="D74" t="s">
        <v>311</v>
      </c>
      <c r="E74">
        <v>9</v>
      </c>
      <c r="G74">
        <v>9</v>
      </c>
    </row>
    <row r="75" spans="1:9" ht="15.75" customHeight="1">
      <c r="B75" t="s">
        <v>139</v>
      </c>
      <c r="C75" s="11" t="s">
        <v>304</v>
      </c>
      <c r="D75">
        <v>3308</v>
      </c>
      <c r="E75">
        <v>10</v>
      </c>
      <c r="G75">
        <v>10</v>
      </c>
    </row>
    <row r="76" spans="1:9" ht="15.75" customHeight="1">
      <c r="B76" t="s">
        <v>309</v>
      </c>
      <c r="C76" s="11" t="s">
        <v>304</v>
      </c>
      <c r="D76">
        <v>770315</v>
      </c>
      <c r="E76">
        <v>2</v>
      </c>
      <c r="G76">
        <v>2</v>
      </c>
    </row>
    <row r="77" spans="1:9" ht="15.75" customHeight="1">
      <c r="B77" t="s">
        <v>484</v>
      </c>
      <c r="C77" s="11" t="s">
        <v>307</v>
      </c>
      <c r="D77" t="s">
        <v>400</v>
      </c>
      <c r="E77">
        <v>1</v>
      </c>
      <c r="G77">
        <v>1</v>
      </c>
    </row>
    <row r="78" spans="1:9" ht="15.75" customHeight="1">
      <c r="B78" t="s">
        <v>485</v>
      </c>
      <c r="C78" s="11" t="s">
        <v>307</v>
      </c>
      <c r="D78" t="s">
        <v>316</v>
      </c>
      <c r="E78">
        <v>1</v>
      </c>
      <c r="G78">
        <v>1</v>
      </c>
    </row>
    <row r="79" spans="1:9" ht="15.75" customHeight="1">
      <c r="B79" t="s">
        <v>486</v>
      </c>
      <c r="C79" s="11" t="s">
        <v>304</v>
      </c>
      <c r="D79">
        <v>338023</v>
      </c>
      <c r="E79">
        <v>1</v>
      </c>
      <c r="G79">
        <v>1</v>
      </c>
    </row>
    <row r="80" spans="1:9" ht="15.75" customHeight="1">
      <c r="B80" t="s">
        <v>487</v>
      </c>
      <c r="C80" s="11" t="s">
        <v>307</v>
      </c>
      <c r="D80" t="s">
        <v>391</v>
      </c>
      <c r="E80">
        <v>1</v>
      </c>
      <c r="G80">
        <v>1</v>
      </c>
    </row>
    <row r="81" spans="1:9" ht="15.75" customHeight="1">
      <c r="A81" s="26"/>
      <c r="B81" s="26"/>
      <c r="C81" s="26"/>
      <c r="D81" s="26"/>
      <c r="E81" s="26"/>
      <c r="F81" s="26"/>
      <c r="G81" s="26"/>
      <c r="H81" s="26"/>
    </row>
    <row r="82" spans="1:9" ht="15.75" customHeight="1">
      <c r="A82" s="11" t="s">
        <v>243</v>
      </c>
      <c r="B82" t="s">
        <v>139</v>
      </c>
      <c r="C82" s="11" t="s">
        <v>304</v>
      </c>
      <c r="D82">
        <v>3308</v>
      </c>
      <c r="E82">
        <v>9</v>
      </c>
      <c r="G82">
        <v>9</v>
      </c>
      <c r="I82" t="s">
        <v>911</v>
      </c>
    </row>
    <row r="83" spans="1:9" ht="15.75" customHeight="1">
      <c r="B83" t="s">
        <v>309</v>
      </c>
      <c r="C83" s="11" t="s">
        <v>304</v>
      </c>
      <c r="D83">
        <v>770315</v>
      </c>
      <c r="E83">
        <v>1</v>
      </c>
      <c r="G83">
        <v>1</v>
      </c>
    </row>
    <row r="84" spans="1:9" ht="15.75" customHeight="1">
      <c r="B84" t="s">
        <v>306</v>
      </c>
      <c r="C84" s="11" t="s">
        <v>307</v>
      </c>
      <c r="D84" t="s">
        <v>308</v>
      </c>
      <c r="E84">
        <v>2</v>
      </c>
      <c r="G84">
        <v>2</v>
      </c>
    </row>
    <row r="85" spans="1:9" ht="15.75" customHeight="1">
      <c r="B85" t="s">
        <v>310</v>
      </c>
      <c r="C85" s="11" t="s">
        <v>307</v>
      </c>
      <c r="D85" t="s">
        <v>311</v>
      </c>
      <c r="E85">
        <v>2</v>
      </c>
      <c r="G85">
        <v>2</v>
      </c>
    </row>
    <row r="86" spans="1:9" ht="15.75" customHeight="1">
      <c r="B86" t="s">
        <v>140</v>
      </c>
      <c r="C86" s="11" t="s">
        <v>304</v>
      </c>
      <c r="D86">
        <v>153563</v>
      </c>
      <c r="E86">
        <v>2</v>
      </c>
      <c r="G86">
        <v>2</v>
      </c>
    </row>
    <row r="87" spans="1:9" ht="15.75" customHeight="1">
      <c r="B87" t="s">
        <v>488</v>
      </c>
      <c r="C87" s="11" t="s">
        <v>307</v>
      </c>
      <c r="D87" t="s">
        <v>489</v>
      </c>
      <c r="E87">
        <v>1</v>
      </c>
      <c r="G87">
        <v>1</v>
      </c>
    </row>
    <row r="88" spans="1:9" ht="15.75" customHeight="1">
      <c r="B88" t="s">
        <v>490</v>
      </c>
      <c r="C88" s="11" t="s">
        <v>307</v>
      </c>
      <c r="D88" t="s">
        <v>388</v>
      </c>
      <c r="E88">
        <v>1</v>
      </c>
      <c r="G88">
        <v>1</v>
      </c>
    </row>
    <row r="89" spans="1:9" ht="15.75" customHeight="1">
      <c r="A89" s="25"/>
      <c r="B89" s="25"/>
      <c r="C89" s="25"/>
      <c r="D89" s="25"/>
      <c r="E89" s="25"/>
      <c r="F89" s="25"/>
      <c r="G89" s="25"/>
      <c r="H89" s="25"/>
    </row>
    <row r="90" spans="1:9" ht="15.75" customHeight="1">
      <c r="A90" t="s">
        <v>246</v>
      </c>
      <c r="B90" t="s">
        <v>306</v>
      </c>
      <c r="C90" s="11" t="s">
        <v>307</v>
      </c>
      <c r="D90" t="s">
        <v>308</v>
      </c>
      <c r="E90">
        <v>1</v>
      </c>
      <c r="G90">
        <v>1</v>
      </c>
      <c r="I90" s="11" t="s">
        <v>912</v>
      </c>
    </row>
    <row r="91" spans="1:9" ht="15.75" customHeight="1">
      <c r="B91" t="s">
        <v>61</v>
      </c>
      <c r="C91" s="11" t="s">
        <v>304</v>
      </c>
      <c r="D91">
        <v>490099</v>
      </c>
      <c r="E91">
        <v>1</v>
      </c>
      <c r="G91">
        <v>1</v>
      </c>
    </row>
    <row r="92" spans="1:9" ht="15.75" customHeight="1">
      <c r="B92" t="s">
        <v>481</v>
      </c>
      <c r="C92" s="11" t="s">
        <v>304</v>
      </c>
      <c r="D92">
        <v>19017</v>
      </c>
      <c r="E92">
        <v>2</v>
      </c>
      <c r="G92">
        <v>2</v>
      </c>
    </row>
    <row r="93" spans="1:9" ht="15.75" customHeight="1">
      <c r="B93" t="s">
        <v>491</v>
      </c>
      <c r="C93" s="11" t="s">
        <v>304</v>
      </c>
      <c r="D93">
        <v>50826</v>
      </c>
      <c r="E93">
        <v>2</v>
      </c>
      <c r="G93">
        <v>2</v>
      </c>
    </row>
    <row r="94" spans="1:9" ht="15.75" customHeight="1">
      <c r="A94" s="26"/>
      <c r="B94" s="26"/>
      <c r="C94" s="26"/>
      <c r="D94" s="26"/>
      <c r="E94" s="26"/>
      <c r="F94" s="26"/>
      <c r="G94" s="26"/>
      <c r="H94" s="26"/>
    </row>
    <row r="95" spans="1:9" ht="15.75" customHeight="1">
      <c r="A95" t="s">
        <v>250</v>
      </c>
      <c r="B95" t="s">
        <v>369</v>
      </c>
      <c r="C95" s="11" t="s">
        <v>307</v>
      </c>
      <c r="D95" t="s">
        <v>326</v>
      </c>
      <c r="E95">
        <v>1</v>
      </c>
      <c r="G95">
        <v>1</v>
      </c>
      <c r="I95" t="s">
        <v>913</v>
      </c>
    </row>
    <row r="96" spans="1:9" ht="15.75" customHeight="1">
      <c r="B96" t="s">
        <v>493</v>
      </c>
      <c r="C96" s="11" t="s">
        <v>304</v>
      </c>
      <c r="D96">
        <v>540228</v>
      </c>
      <c r="E96">
        <v>1</v>
      </c>
      <c r="G96">
        <v>1</v>
      </c>
    </row>
    <row r="97" spans="1:9" ht="15.75" customHeight="1">
      <c r="B97" t="s">
        <v>491</v>
      </c>
      <c r="C97" s="11" t="s">
        <v>304</v>
      </c>
      <c r="D97">
        <v>50826</v>
      </c>
      <c r="E97">
        <v>5</v>
      </c>
      <c r="G97">
        <v>5</v>
      </c>
    </row>
    <row r="98" spans="1:9" ht="15.75" customHeight="1">
      <c r="B98" t="s">
        <v>495</v>
      </c>
      <c r="C98" s="11" t="s">
        <v>304</v>
      </c>
      <c r="D98">
        <v>936014</v>
      </c>
      <c r="E98">
        <v>1</v>
      </c>
      <c r="G98">
        <v>1</v>
      </c>
    </row>
    <row r="99" spans="1:9" ht="15.75" customHeight="1">
      <c r="B99" t="s">
        <v>481</v>
      </c>
      <c r="C99" s="11" t="s">
        <v>304</v>
      </c>
      <c r="D99">
        <v>19017</v>
      </c>
      <c r="E99">
        <v>2</v>
      </c>
      <c r="G99">
        <v>2</v>
      </c>
    </row>
    <row r="100" spans="1:9" ht="15.75" customHeight="1">
      <c r="A100" s="47"/>
      <c r="B100" s="47" t="s">
        <v>467</v>
      </c>
      <c r="C100" s="108" t="s">
        <v>307</v>
      </c>
      <c r="D100" s="47" t="s">
        <v>430</v>
      </c>
      <c r="E100" s="47">
        <v>2</v>
      </c>
      <c r="F100" s="47">
        <v>2</v>
      </c>
      <c r="G100" s="47"/>
      <c r="H100" s="47" t="s">
        <v>914</v>
      </c>
    </row>
    <row r="101" spans="1:9" ht="15.75" customHeight="1">
      <c r="B101" t="s">
        <v>485</v>
      </c>
      <c r="C101" s="11" t="s">
        <v>307</v>
      </c>
      <c r="D101" t="s">
        <v>316</v>
      </c>
      <c r="E101">
        <v>1</v>
      </c>
      <c r="G101">
        <v>1</v>
      </c>
    </row>
    <row r="102" spans="1:9" ht="15.75" customHeight="1">
      <c r="A102" s="25"/>
      <c r="B102" s="25"/>
      <c r="C102" s="25"/>
      <c r="D102" s="25"/>
      <c r="E102" s="25"/>
      <c r="F102" s="25"/>
      <c r="G102" s="25"/>
      <c r="H102" s="25"/>
    </row>
    <row r="103" spans="1:9" ht="15.75" customHeight="1">
      <c r="A103" s="11" t="s">
        <v>253</v>
      </c>
      <c r="B103" t="s">
        <v>351</v>
      </c>
      <c r="C103" s="11" t="s">
        <v>304</v>
      </c>
      <c r="D103">
        <v>864596</v>
      </c>
      <c r="E103">
        <v>1</v>
      </c>
      <c r="G103">
        <v>1</v>
      </c>
      <c r="H103" s="11"/>
      <c r="I103" s="11" t="s">
        <v>915</v>
      </c>
    </row>
    <row r="104" spans="1:9" ht="15.75" customHeight="1">
      <c r="B104" t="s">
        <v>309</v>
      </c>
      <c r="C104" s="11" t="s">
        <v>304</v>
      </c>
      <c r="D104">
        <v>770315</v>
      </c>
      <c r="E104">
        <v>5</v>
      </c>
      <c r="G104">
        <v>5</v>
      </c>
    </row>
    <row r="105" spans="1:9" ht="15.75" customHeight="1">
      <c r="B105" t="s">
        <v>498</v>
      </c>
      <c r="C105" s="11" t="s">
        <v>304</v>
      </c>
      <c r="D105">
        <v>850936</v>
      </c>
      <c r="E105">
        <v>6</v>
      </c>
      <c r="G105">
        <v>6</v>
      </c>
    </row>
    <row r="106" spans="1:9" ht="15.75" customHeight="1">
      <c r="B106" t="s">
        <v>310</v>
      </c>
      <c r="C106" s="11" t="s">
        <v>307</v>
      </c>
      <c r="D106" t="s">
        <v>311</v>
      </c>
      <c r="E106">
        <v>1</v>
      </c>
      <c r="G106">
        <v>1</v>
      </c>
    </row>
    <row r="107" spans="1:9" ht="15.75" customHeight="1">
      <c r="B107" t="s">
        <v>499</v>
      </c>
      <c r="C107" s="11" t="s">
        <v>304</v>
      </c>
      <c r="D107">
        <v>850949</v>
      </c>
      <c r="E107">
        <v>2</v>
      </c>
      <c r="G107">
        <v>2</v>
      </c>
    </row>
    <row r="108" spans="1:9" ht="15.75" customHeight="1">
      <c r="A108" s="47"/>
      <c r="B108" s="47" t="s">
        <v>500</v>
      </c>
      <c r="C108" s="47" t="s">
        <v>304</v>
      </c>
      <c r="D108" s="47">
        <v>5203547</v>
      </c>
      <c r="E108" s="47">
        <v>1</v>
      </c>
      <c r="F108" s="47">
        <v>1</v>
      </c>
      <c r="G108" s="47"/>
      <c r="H108" s="47" t="s">
        <v>501</v>
      </c>
    </row>
    <row r="109" spans="1:9" ht="15.75" customHeight="1">
      <c r="B109" t="s">
        <v>502</v>
      </c>
      <c r="C109" s="11" t="s">
        <v>304</v>
      </c>
      <c r="D109">
        <v>864593</v>
      </c>
      <c r="E109">
        <v>1</v>
      </c>
      <c r="G109">
        <v>1</v>
      </c>
    </row>
    <row r="110" spans="1:9" ht="15.75" customHeight="1">
      <c r="A110" s="26"/>
      <c r="B110" s="26"/>
      <c r="C110" s="26"/>
      <c r="D110" s="26"/>
      <c r="E110" s="26"/>
      <c r="F110" s="26"/>
      <c r="G110" s="26"/>
      <c r="H110" s="26"/>
    </row>
    <row r="111" spans="1:9" ht="15.75" customHeight="1">
      <c r="A111" s="11" t="s">
        <v>503</v>
      </c>
      <c r="B111" t="s">
        <v>498</v>
      </c>
      <c r="C111" s="11" t="s">
        <v>304</v>
      </c>
      <c r="D111">
        <v>850936</v>
      </c>
      <c r="E111">
        <v>3</v>
      </c>
      <c r="G111">
        <v>3</v>
      </c>
      <c r="I111" s="11" t="s">
        <v>916</v>
      </c>
    </row>
    <row r="112" spans="1:9" ht="15.75" customHeight="1">
      <c r="B112" t="s">
        <v>417</v>
      </c>
      <c r="C112" s="11" t="s">
        <v>304</v>
      </c>
      <c r="D112">
        <v>770315</v>
      </c>
      <c r="E112">
        <v>4</v>
      </c>
      <c r="G112">
        <v>4</v>
      </c>
    </row>
    <row r="113" spans="1:9" ht="15.75" customHeight="1">
      <c r="B113" t="s">
        <v>504</v>
      </c>
      <c r="C113" s="11" t="s">
        <v>304</v>
      </c>
      <c r="D113">
        <v>801601</v>
      </c>
      <c r="E113">
        <v>1</v>
      </c>
      <c r="G113">
        <v>1</v>
      </c>
    </row>
    <row r="114" spans="1:9" ht="15.75" customHeight="1">
      <c r="B114" t="s">
        <v>420</v>
      </c>
      <c r="C114" s="11" t="s">
        <v>307</v>
      </c>
      <c r="D114" t="s">
        <v>353</v>
      </c>
      <c r="E114">
        <v>1</v>
      </c>
      <c r="G114">
        <v>1</v>
      </c>
    </row>
    <row r="115" spans="1:9" ht="15.75" customHeight="1">
      <c r="B115" t="s">
        <v>310</v>
      </c>
      <c r="C115" s="11" t="s">
        <v>307</v>
      </c>
      <c r="D115" t="s">
        <v>311</v>
      </c>
      <c r="E115">
        <v>3</v>
      </c>
      <c r="G115">
        <v>3</v>
      </c>
    </row>
    <row r="116" spans="1:9" ht="15.75" customHeight="1">
      <c r="B116" t="s">
        <v>368</v>
      </c>
      <c r="C116" s="11" t="s">
        <v>307</v>
      </c>
      <c r="D116" t="s">
        <v>308</v>
      </c>
      <c r="E116">
        <v>4</v>
      </c>
      <c r="G116">
        <v>4</v>
      </c>
    </row>
    <row r="117" spans="1:9" ht="15.75" customHeight="1">
      <c r="B117" t="s">
        <v>146</v>
      </c>
      <c r="C117" s="11" t="s">
        <v>304</v>
      </c>
      <c r="D117">
        <v>864610</v>
      </c>
      <c r="E117">
        <v>1</v>
      </c>
      <c r="G117">
        <v>1</v>
      </c>
    </row>
    <row r="118" spans="1:9" ht="15.75" customHeight="1">
      <c r="B118" t="s">
        <v>424</v>
      </c>
      <c r="C118" s="11" t="s">
        <v>304</v>
      </c>
      <c r="D118">
        <v>244265</v>
      </c>
      <c r="E118">
        <v>1</v>
      </c>
      <c r="G118">
        <v>1</v>
      </c>
    </row>
    <row r="119" spans="1:9" ht="15.75" customHeight="1">
      <c r="B119" t="s">
        <v>505</v>
      </c>
      <c r="C119" s="11" t="s">
        <v>304</v>
      </c>
      <c r="D119">
        <v>864596</v>
      </c>
      <c r="E119">
        <v>1</v>
      </c>
      <c r="G119">
        <v>1</v>
      </c>
    </row>
    <row r="120" spans="1:9" ht="15.75" customHeight="1">
      <c r="B120" t="s">
        <v>318</v>
      </c>
      <c r="C120" s="11" t="s">
        <v>304</v>
      </c>
      <c r="D120">
        <v>150787</v>
      </c>
      <c r="E120">
        <v>1</v>
      </c>
      <c r="G120">
        <v>1</v>
      </c>
    </row>
    <row r="127" spans="1:9" ht="15.75" customHeight="1">
      <c r="I127" t="s">
        <v>917</v>
      </c>
    </row>
    <row r="128" spans="1:9" ht="15.75" customHeight="1">
      <c r="A128" s="35" t="s">
        <v>462</v>
      </c>
      <c r="B128" s="15" t="s">
        <v>424</v>
      </c>
      <c r="C128" t="s">
        <v>304</v>
      </c>
      <c r="D128" s="15">
        <v>244265</v>
      </c>
      <c r="E128" s="13">
        <v>1</v>
      </c>
      <c r="F128" s="10"/>
      <c r="G128">
        <v>1</v>
      </c>
      <c r="I128">
        <v>1</v>
      </c>
    </row>
    <row r="129" spans="2:10" ht="15.75" customHeight="1">
      <c r="B129" s="15" t="s">
        <v>434</v>
      </c>
      <c r="C129" t="s">
        <v>304</v>
      </c>
      <c r="D129" s="15">
        <v>722888</v>
      </c>
      <c r="E129" s="13">
        <v>6</v>
      </c>
      <c r="F129" s="10"/>
      <c r="G129">
        <v>6</v>
      </c>
      <c r="I129">
        <v>6</v>
      </c>
    </row>
    <row r="130" spans="2:10" ht="15.75" customHeight="1">
      <c r="B130" s="15" t="s">
        <v>58</v>
      </c>
      <c r="C130" t="s">
        <v>304</v>
      </c>
      <c r="D130" s="15">
        <v>81461</v>
      </c>
      <c r="E130" s="13">
        <v>1</v>
      </c>
      <c r="F130" s="10"/>
      <c r="G130">
        <v>1</v>
      </c>
      <c r="I130">
        <v>1</v>
      </c>
    </row>
    <row r="131" spans="2:10" ht="15.75" customHeight="1">
      <c r="B131" s="118" t="s">
        <v>315</v>
      </c>
      <c r="C131" s="118" t="s">
        <v>307</v>
      </c>
      <c r="D131" s="118" t="s">
        <v>316</v>
      </c>
      <c r="E131" s="50"/>
      <c r="F131" s="51">
        <v>1</v>
      </c>
      <c r="G131" s="47">
        <v>1</v>
      </c>
      <c r="H131" s="47" t="s">
        <v>463</v>
      </c>
      <c r="I131">
        <v>1</v>
      </c>
    </row>
    <row r="132" spans="2:10" ht="15.75" customHeight="1">
      <c r="B132" s="15" t="s">
        <v>373</v>
      </c>
      <c r="C132" t="s">
        <v>307</v>
      </c>
      <c r="D132" s="15" t="s">
        <v>311</v>
      </c>
      <c r="E132" s="13">
        <v>1</v>
      </c>
      <c r="F132" s="10"/>
      <c r="G132">
        <v>1</v>
      </c>
      <c r="I132">
        <v>1</v>
      </c>
    </row>
    <row r="133" spans="2:10" ht="15.75" customHeight="1">
      <c r="B133" s="15" t="s">
        <v>330</v>
      </c>
      <c r="C133" t="s">
        <v>304</v>
      </c>
      <c r="D133" s="15">
        <v>770309</v>
      </c>
      <c r="E133" s="13">
        <v>1</v>
      </c>
      <c r="F133" s="10"/>
      <c r="G133">
        <v>1</v>
      </c>
      <c r="I133">
        <v>1</v>
      </c>
    </row>
    <row r="134" spans="2:10" ht="15.75" customHeight="1">
      <c r="B134" s="100" t="s">
        <v>369</v>
      </c>
      <c r="C134" s="96" t="s">
        <v>307</v>
      </c>
      <c r="D134" s="100" t="s">
        <v>326</v>
      </c>
      <c r="E134" s="97"/>
      <c r="F134" s="98"/>
      <c r="G134" s="96">
        <v>2</v>
      </c>
      <c r="H134" s="96" t="s">
        <v>918</v>
      </c>
      <c r="I134">
        <v>1</v>
      </c>
      <c r="J134" t="s">
        <v>869</v>
      </c>
    </row>
    <row r="135" spans="2:10" ht="15.75" customHeight="1">
      <c r="B135" s="15" t="s">
        <v>464</v>
      </c>
      <c r="C135" t="s">
        <v>307</v>
      </c>
      <c r="D135" s="15" t="s">
        <v>465</v>
      </c>
      <c r="E135" s="13">
        <v>2</v>
      </c>
      <c r="F135" s="10"/>
      <c r="G135">
        <v>2</v>
      </c>
      <c r="H135" t="s">
        <v>466</v>
      </c>
      <c r="I135">
        <v>2</v>
      </c>
      <c r="J135" t="s">
        <v>869</v>
      </c>
    </row>
    <row r="136" spans="2:10" ht="15.75" customHeight="1">
      <c r="B136" s="118" t="s">
        <v>467</v>
      </c>
      <c r="C136" s="47" t="s">
        <v>307</v>
      </c>
      <c r="D136" s="118" t="s">
        <v>430</v>
      </c>
      <c r="E136" s="50"/>
      <c r="F136" s="51">
        <v>1</v>
      </c>
      <c r="G136" s="47">
        <v>1</v>
      </c>
      <c r="H136" s="47" t="s">
        <v>463</v>
      </c>
      <c r="I136">
        <v>1</v>
      </c>
    </row>
    <row r="137" spans="2:10" ht="15.75" customHeight="1">
      <c r="B137" s="15" t="s">
        <v>61</v>
      </c>
      <c r="C137" t="s">
        <v>304</v>
      </c>
      <c r="D137" s="15">
        <v>490099</v>
      </c>
      <c r="E137" s="13">
        <v>5</v>
      </c>
      <c r="F137" s="10"/>
      <c r="G137">
        <v>5</v>
      </c>
      <c r="I137">
        <v>5</v>
      </c>
    </row>
    <row r="138" spans="2:10" ht="15.75" customHeight="1">
      <c r="B138" s="119" t="s">
        <v>352</v>
      </c>
      <c r="C138" s="99" t="s">
        <v>307</v>
      </c>
      <c r="D138" s="119" t="s">
        <v>353</v>
      </c>
      <c r="E138" s="99"/>
      <c r="F138" s="98" t="s">
        <v>919</v>
      </c>
      <c r="G138" s="99">
        <v>1</v>
      </c>
      <c r="H138" s="99" t="s">
        <v>466</v>
      </c>
      <c r="I138">
        <v>1</v>
      </c>
      <c r="J138" t="s">
        <v>869</v>
      </c>
    </row>
    <row r="139" spans="2:10" ht="15.75" customHeight="1">
      <c r="B139" s="119" t="s">
        <v>468</v>
      </c>
      <c r="C139" s="99" t="s">
        <v>307</v>
      </c>
      <c r="D139" s="119" t="s">
        <v>465</v>
      </c>
      <c r="E139" s="97" t="s">
        <v>919</v>
      </c>
      <c r="F139" s="99"/>
      <c r="G139" s="99">
        <v>1</v>
      </c>
      <c r="H139" s="99" t="s">
        <v>466</v>
      </c>
      <c r="I139">
        <v>1</v>
      </c>
      <c r="J139" t="s">
        <v>869</v>
      </c>
    </row>
    <row r="140" spans="2:10" ht="15.75" customHeight="1">
      <c r="B140" s="118" t="s">
        <v>420</v>
      </c>
      <c r="C140" s="47" t="s">
        <v>307</v>
      </c>
      <c r="D140" s="118" t="s">
        <v>353</v>
      </c>
      <c r="E140" s="50"/>
      <c r="F140" s="51">
        <v>1</v>
      </c>
      <c r="G140" s="47">
        <v>1</v>
      </c>
      <c r="H140" s="47" t="s">
        <v>463</v>
      </c>
      <c r="I140">
        <v>1</v>
      </c>
    </row>
    <row r="141" spans="2:10" ht="15.75" customHeight="1">
      <c r="B141" s="100" t="s">
        <v>469</v>
      </c>
      <c r="C141" s="96" t="s">
        <v>307</v>
      </c>
      <c r="D141" s="100" t="s">
        <v>326</v>
      </c>
      <c r="E141" s="97"/>
      <c r="F141" s="98"/>
      <c r="G141" s="96">
        <v>1</v>
      </c>
      <c r="H141" s="96" t="s">
        <v>466</v>
      </c>
      <c r="I141">
        <v>1</v>
      </c>
      <c r="J141" t="s">
        <v>869</v>
      </c>
    </row>
    <row r="147" spans="2:12" ht="15.75" customHeight="1">
      <c r="K147" t="s">
        <v>920</v>
      </c>
    </row>
    <row r="148" spans="2:12" ht="15.75" customHeight="1">
      <c r="B148" s="35" t="s">
        <v>217</v>
      </c>
      <c r="C148" s="101" t="s">
        <v>532</v>
      </c>
      <c r="D148" t="s">
        <v>356</v>
      </c>
      <c r="E148">
        <v>202204769</v>
      </c>
      <c r="F148" s="13">
        <v>5</v>
      </c>
      <c r="G148" s="10"/>
      <c r="H148">
        <v>5</v>
      </c>
      <c r="K148">
        <v>5</v>
      </c>
    </row>
    <row r="149" spans="2:12" ht="15.75" customHeight="1">
      <c r="C149" s="101" t="s">
        <v>533</v>
      </c>
      <c r="D149" t="s">
        <v>356</v>
      </c>
      <c r="E149">
        <v>202204775</v>
      </c>
      <c r="F149" s="13">
        <v>1</v>
      </c>
      <c r="G149" s="10"/>
      <c r="K149">
        <v>2</v>
      </c>
    </row>
    <row r="150" spans="2:12" ht="15.75" customHeight="1">
      <c r="C150" t="s">
        <v>535</v>
      </c>
      <c r="D150" t="s">
        <v>307</v>
      </c>
      <c r="E150" t="s">
        <v>311</v>
      </c>
      <c r="F150" s="13">
        <v>3</v>
      </c>
      <c r="G150" s="10"/>
      <c r="H150">
        <v>3</v>
      </c>
      <c r="K150">
        <v>4</v>
      </c>
    </row>
    <row r="151" spans="2:12" ht="15.75" customHeight="1">
      <c r="C151" s="101" t="s">
        <v>330</v>
      </c>
      <c r="D151" t="s">
        <v>304</v>
      </c>
      <c r="E151">
        <v>770309</v>
      </c>
      <c r="F151" s="13">
        <v>3</v>
      </c>
      <c r="G151" s="10"/>
      <c r="H151">
        <v>3</v>
      </c>
      <c r="K151">
        <v>3</v>
      </c>
    </row>
    <row r="152" spans="2:12" ht="15.75" customHeight="1">
      <c r="C152" s="101" t="s">
        <v>105</v>
      </c>
      <c r="D152" t="s">
        <v>304</v>
      </c>
      <c r="E152" s="101">
        <v>563166</v>
      </c>
      <c r="F152" s="13">
        <v>2</v>
      </c>
      <c r="G152" s="10"/>
      <c r="H152">
        <v>2</v>
      </c>
      <c r="K152">
        <v>2</v>
      </c>
    </row>
    <row r="153" spans="2:12" ht="15.75" customHeight="1">
      <c r="C153" s="101" t="s">
        <v>364</v>
      </c>
      <c r="D153" t="s">
        <v>307</v>
      </c>
      <c r="E153" t="s">
        <v>365</v>
      </c>
      <c r="F153" s="13">
        <v>1</v>
      </c>
      <c r="G153" s="10"/>
      <c r="K153">
        <v>1</v>
      </c>
    </row>
    <row r="154" spans="2:12" ht="15.75" customHeight="1">
      <c r="C154" s="102" t="s">
        <v>537</v>
      </c>
      <c r="D154" s="96" t="s">
        <v>307</v>
      </c>
      <c r="E154" s="102" t="s">
        <v>512</v>
      </c>
      <c r="F154" s="97" t="s">
        <v>919</v>
      </c>
      <c r="G154" s="98" t="s">
        <v>919</v>
      </c>
      <c r="H154" s="96"/>
      <c r="I154" s="96" t="s">
        <v>921</v>
      </c>
      <c r="K154">
        <v>1</v>
      </c>
      <c r="L154" t="s">
        <v>157</v>
      </c>
    </row>
    <row r="155" spans="2:12" ht="15.75" customHeight="1">
      <c r="C155" s="101" t="s">
        <v>539</v>
      </c>
      <c r="D155" t="s">
        <v>304</v>
      </c>
      <c r="E155">
        <v>763310</v>
      </c>
      <c r="F155" s="13">
        <v>1</v>
      </c>
      <c r="G155" s="10"/>
      <c r="K155">
        <v>1</v>
      </c>
    </row>
    <row r="156" spans="2:12" ht="15.75" customHeight="1">
      <c r="C156" s="101" t="s">
        <v>540</v>
      </c>
      <c r="D156" t="s">
        <v>307</v>
      </c>
      <c r="E156" t="s">
        <v>388</v>
      </c>
      <c r="F156" s="13">
        <v>2</v>
      </c>
      <c r="G156" s="10"/>
      <c r="H156">
        <v>2</v>
      </c>
      <c r="K156">
        <v>2</v>
      </c>
    </row>
    <row r="157" spans="2:12" ht="15.75" customHeight="1">
      <c r="C157" s="101" t="s">
        <v>541</v>
      </c>
      <c r="D157" t="s">
        <v>307</v>
      </c>
      <c r="E157" s="101" t="s">
        <v>308</v>
      </c>
      <c r="F157" s="13">
        <v>4</v>
      </c>
      <c r="G157" s="10"/>
      <c r="H157">
        <v>4</v>
      </c>
      <c r="K157">
        <v>4</v>
      </c>
    </row>
    <row r="158" spans="2:12" ht="15.75" customHeight="1">
      <c r="C158" s="101" t="s">
        <v>309</v>
      </c>
      <c r="D158" t="s">
        <v>304</v>
      </c>
      <c r="E158">
        <v>770315</v>
      </c>
      <c r="F158" s="13">
        <v>1</v>
      </c>
      <c r="G158" s="10"/>
      <c r="K158">
        <v>1</v>
      </c>
    </row>
    <row r="159" spans="2:12" ht="15.75" customHeight="1">
      <c r="C159" s="101" t="s">
        <v>542</v>
      </c>
      <c r="D159" t="s">
        <v>307</v>
      </c>
      <c r="E159" s="101" t="s">
        <v>326</v>
      </c>
      <c r="F159" s="13">
        <v>2</v>
      </c>
      <c r="G159" s="10"/>
      <c r="H159">
        <v>2</v>
      </c>
      <c r="K159">
        <v>2</v>
      </c>
    </row>
    <row r="160" spans="2:12" ht="15.75" customHeight="1">
      <c r="C160" s="101" t="s">
        <v>543</v>
      </c>
      <c r="D160" t="s">
        <v>307</v>
      </c>
      <c r="E160" t="s">
        <v>544</v>
      </c>
      <c r="F160" s="13">
        <v>1</v>
      </c>
      <c r="G160" s="10"/>
      <c r="K160">
        <v>1</v>
      </c>
    </row>
    <row r="161" spans="3:12" ht="15.75" customHeight="1">
      <c r="C161" s="101" t="s">
        <v>502</v>
      </c>
      <c r="D161" t="s">
        <v>304</v>
      </c>
      <c r="E161">
        <v>864593</v>
      </c>
      <c r="F161" s="13">
        <v>1</v>
      </c>
      <c r="G161" s="10"/>
      <c r="K161">
        <v>1</v>
      </c>
    </row>
    <row r="162" spans="3:12" ht="15.75" customHeight="1">
      <c r="C162" s="102" t="s">
        <v>545</v>
      </c>
      <c r="D162" s="96" t="s">
        <v>307</v>
      </c>
      <c r="E162" s="96" t="s">
        <v>339</v>
      </c>
      <c r="F162" s="97" t="s">
        <v>919</v>
      </c>
      <c r="G162" s="98" t="s">
        <v>919</v>
      </c>
      <c r="H162" s="96"/>
      <c r="I162" s="96" t="s">
        <v>921</v>
      </c>
      <c r="K162">
        <v>1</v>
      </c>
      <c r="L162" t="s">
        <v>869</v>
      </c>
    </row>
    <row r="163" spans="3:12" ht="15.75" customHeight="1">
      <c r="C163" s="117" t="s">
        <v>546</v>
      </c>
      <c r="D163" s="47" t="s">
        <v>307</v>
      </c>
      <c r="E163" s="47" t="s">
        <v>547</v>
      </c>
      <c r="F163" s="50"/>
      <c r="G163" s="51">
        <v>1</v>
      </c>
      <c r="H163" s="47"/>
      <c r="I163" s="47" t="s">
        <v>548</v>
      </c>
      <c r="K163">
        <v>1</v>
      </c>
    </row>
  </sheetData>
  <hyperlinks>
    <hyperlink ref="A36" r:id="rId1" display="https://www.ncbi.nlm.nih.gov/pmc/articles/PMC10746266/" xr:uid="{86FE994F-C8ED-46B9-A9B7-DD7B0741803F}"/>
    <hyperlink ref="A44" r:id="rId2" display="https://www.ncbi.nlm.nih.gov/pmc/articles/PMC10859794/" xr:uid="{388BF805-C33B-4015-BF2A-FDE5340997B1}"/>
    <hyperlink ref="A50" r:id="rId3" display="https://www.ncbi.nlm.nih.gov/pmc/articles/PMC10561574/" xr:uid="{EA0991E7-1F67-4143-9F84-7A9814435642}"/>
    <hyperlink ref="A57" r:id="rId4" display="https://www.ncbi.nlm.nih.gov/pmc/articles/PMC10756841/" xr:uid="{806E977C-9F3E-471A-9D52-304D84B976A2}"/>
    <hyperlink ref="A67" r:id="rId5" display="https://www.ncbi.nlm.nih.gov/pmc/articles/PMC10767313/" xr:uid="{516F4A6E-DC42-45F4-9827-50671E598F99}"/>
  </hyperlinks>
  <pageMargins left="0" right="0" top="0" bottom="0" header="0" footer="0"/>
  <pageSetup paperSize="9" orientation="portrait" horizontalDpi="4294967293" verticalDpi="0"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2B60-ACAE-47BD-A74A-DAC93AAFD4D3}">
  <dimension ref="A1:H23"/>
  <sheetViews>
    <sheetView topLeftCell="A18" workbookViewId="0">
      <selection activeCell="D7" sqref="D7"/>
    </sheetView>
  </sheetViews>
  <sheetFormatPr defaultColWidth="11.42578125" defaultRowHeight="12.6"/>
  <cols>
    <col min="1" max="1" width="12.7109375" bestFit="1" customWidth="1"/>
    <col min="2" max="2" width="43" bestFit="1" customWidth="1"/>
    <col min="3" max="3" width="19.7109375" bestFit="1" customWidth="1"/>
    <col min="4" max="4" width="19.140625" bestFit="1" customWidth="1"/>
    <col min="5" max="5" width="21.140625" bestFit="1" customWidth="1"/>
    <col min="6" max="6" width="18.140625" bestFit="1" customWidth="1"/>
  </cols>
  <sheetData>
    <row r="1" spans="1:8" ht="12.95">
      <c r="A1" s="29" t="s">
        <v>835</v>
      </c>
      <c r="B1" s="30" t="s">
        <v>611</v>
      </c>
      <c r="C1" s="30" t="s">
        <v>612</v>
      </c>
      <c r="D1" s="29" t="s">
        <v>881</v>
      </c>
      <c r="E1" s="29" t="s">
        <v>614</v>
      </c>
      <c r="F1" s="30" t="s">
        <v>882</v>
      </c>
    </row>
    <row r="2" spans="1:8" ht="37.5">
      <c r="A2">
        <v>14584365</v>
      </c>
      <c r="B2" s="28" t="s">
        <v>815</v>
      </c>
      <c r="C2" t="s">
        <v>816</v>
      </c>
      <c r="D2" t="s">
        <v>306</v>
      </c>
      <c r="E2" t="s">
        <v>66</v>
      </c>
    </row>
    <row r="3" spans="1:8" ht="62.45">
      <c r="B3" s="28" t="s">
        <v>817</v>
      </c>
      <c r="C3" t="s">
        <v>818</v>
      </c>
      <c r="D3" t="s">
        <v>310</v>
      </c>
      <c r="E3" t="s">
        <v>330</v>
      </c>
    </row>
    <row r="4" spans="1:8">
      <c r="A4" s="55"/>
      <c r="B4" s="55"/>
      <c r="C4" s="55"/>
      <c r="D4" s="55"/>
      <c r="E4" s="55"/>
      <c r="F4" s="55"/>
    </row>
    <row r="5" spans="1:8" ht="50.1">
      <c r="A5" s="56">
        <v>9880937</v>
      </c>
      <c r="B5" s="58" t="s">
        <v>819</v>
      </c>
      <c r="C5" s="57"/>
      <c r="D5" s="11" t="s">
        <v>820</v>
      </c>
      <c r="F5" s="11" t="s">
        <v>922</v>
      </c>
    </row>
    <row r="6" spans="1:8">
      <c r="A6" s="55"/>
      <c r="B6" s="55"/>
      <c r="C6" s="55"/>
      <c r="D6" s="55"/>
      <c r="E6" s="55"/>
      <c r="F6" s="55"/>
    </row>
    <row r="7" spans="1:8" ht="37.5">
      <c r="A7" s="59">
        <v>9762293</v>
      </c>
      <c r="B7" s="28" t="s">
        <v>821</v>
      </c>
      <c r="C7" t="s">
        <v>822</v>
      </c>
      <c r="D7" s="11" t="s">
        <v>306</v>
      </c>
      <c r="E7" s="11" t="s">
        <v>823</v>
      </c>
      <c r="F7" s="11" t="s">
        <v>923</v>
      </c>
    </row>
    <row r="8" spans="1:8">
      <c r="A8" s="55"/>
      <c r="B8" s="55"/>
      <c r="C8" s="55"/>
      <c r="D8" s="55"/>
      <c r="E8" s="55"/>
      <c r="F8" s="55"/>
    </row>
    <row r="9" spans="1:8" ht="50.1">
      <c r="A9" t="s">
        <v>228</v>
      </c>
      <c r="B9" s="28" t="s">
        <v>824</v>
      </c>
      <c r="C9" s="11" t="s">
        <v>572</v>
      </c>
      <c r="D9" s="11" t="s">
        <v>325</v>
      </c>
      <c r="E9" s="11" t="s">
        <v>825</v>
      </c>
    </row>
    <row r="10" spans="1:8" ht="50.1">
      <c r="B10" s="28" t="s">
        <v>826</v>
      </c>
      <c r="C10" t="s">
        <v>827</v>
      </c>
      <c r="D10" t="s">
        <v>478</v>
      </c>
      <c r="E10" t="s">
        <v>828</v>
      </c>
    </row>
    <row r="11" spans="1:8" ht="50.1">
      <c r="A11" s="115"/>
      <c r="B11" s="175" t="s">
        <v>829</v>
      </c>
      <c r="C11" s="115" t="s">
        <v>827</v>
      </c>
      <c r="D11" s="115" t="s">
        <v>830</v>
      </c>
      <c r="E11" s="115" t="s">
        <v>831</v>
      </c>
      <c r="F11" s="115"/>
      <c r="G11" s="115"/>
      <c r="H11" s="115"/>
    </row>
    <row r="12" spans="1:8" ht="37.5">
      <c r="B12" s="28" t="s">
        <v>832</v>
      </c>
      <c r="C12" t="s">
        <v>827</v>
      </c>
      <c r="D12" s="28" t="s">
        <v>833</v>
      </c>
      <c r="E12" t="s">
        <v>309</v>
      </c>
    </row>
    <row r="13" spans="1:8">
      <c r="A13" s="55"/>
      <c r="B13" s="55"/>
      <c r="C13" s="55"/>
      <c r="D13" s="55"/>
      <c r="E13" s="55"/>
      <c r="F13" s="55"/>
      <c r="G13" s="14"/>
    </row>
    <row r="14" spans="1:8" ht="37.5">
      <c r="A14" s="11" t="s">
        <v>696</v>
      </c>
      <c r="B14" s="28" t="s">
        <v>697</v>
      </c>
      <c r="C14" t="s">
        <v>139</v>
      </c>
      <c r="D14" s="11" t="s">
        <v>698</v>
      </c>
      <c r="E14" t="s">
        <v>699</v>
      </c>
    </row>
    <row r="15" spans="1:8" ht="87.6">
      <c r="B15" s="28" t="s">
        <v>700</v>
      </c>
      <c r="C15" s="57" t="s">
        <v>701</v>
      </c>
      <c r="D15" s="72" t="s">
        <v>702</v>
      </c>
      <c r="E15" s="73" t="s">
        <v>703</v>
      </c>
    </row>
    <row r="16" spans="1:8" ht="75">
      <c r="B16" s="28" t="s">
        <v>704</v>
      </c>
      <c r="C16" s="73" t="s">
        <v>705</v>
      </c>
      <c r="D16" s="72" t="s">
        <v>706</v>
      </c>
      <c r="E16" s="73" t="s">
        <v>707</v>
      </c>
    </row>
    <row r="17" spans="1:6">
      <c r="A17" s="55"/>
      <c r="B17" s="55"/>
      <c r="C17" s="55"/>
      <c r="D17" s="55"/>
      <c r="E17" s="55"/>
      <c r="F17" s="55"/>
    </row>
    <row r="18" spans="1:6" ht="24.95">
      <c r="A18" s="11" t="s">
        <v>243</v>
      </c>
      <c r="B18" s="28" t="s">
        <v>924</v>
      </c>
    </row>
    <row r="19" spans="1:6" ht="50.1">
      <c r="B19" s="28" t="s">
        <v>925</v>
      </c>
      <c r="C19" t="s">
        <v>139</v>
      </c>
      <c r="D19" t="s">
        <v>490</v>
      </c>
      <c r="E19" s="11" t="s">
        <v>703</v>
      </c>
    </row>
    <row r="20" spans="1:6">
      <c r="A20" s="55"/>
      <c r="B20" s="55"/>
      <c r="C20" s="55"/>
      <c r="D20" s="55"/>
      <c r="E20" s="55"/>
      <c r="F20" s="55"/>
    </row>
    <row r="21" spans="1:6" ht="37.5">
      <c r="A21" t="s">
        <v>253</v>
      </c>
      <c r="B21" s="28" t="s">
        <v>716</v>
      </c>
      <c r="C21" s="57" t="s">
        <v>717</v>
      </c>
      <c r="D21" t="s">
        <v>723</v>
      </c>
      <c r="E21" s="11" t="s">
        <v>719</v>
      </c>
    </row>
    <row r="22" spans="1:6">
      <c r="A22" s="55"/>
      <c r="B22" s="55"/>
      <c r="C22" s="55"/>
      <c r="D22" s="55"/>
      <c r="E22" s="55"/>
      <c r="F22" s="55"/>
    </row>
    <row r="23" spans="1:6" ht="37.5">
      <c r="A23" s="11" t="s">
        <v>503</v>
      </c>
      <c r="B23" s="28" t="s">
        <v>724</v>
      </c>
      <c r="C23" t="s">
        <v>725</v>
      </c>
      <c r="D23" t="s">
        <v>368</v>
      </c>
      <c r="E23" s="11" t="s">
        <v>309</v>
      </c>
    </row>
  </sheetData>
  <pageMargins left="0.7" right="0.7" top="0.75" bottom="0.75" header="0.3" footer="0.3"/>
  <pageSetup paperSize="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5"/>
  <sheetViews>
    <sheetView workbookViewId="0">
      <selection activeCell="A3" sqref="A3"/>
    </sheetView>
  </sheetViews>
  <sheetFormatPr defaultColWidth="12.42578125" defaultRowHeight="15.75" customHeight="1"/>
  <cols>
    <col min="1" max="1" width="31.42578125" customWidth="1"/>
    <col min="2" max="2" width="18.42578125" customWidth="1"/>
    <col min="3" max="3" width="16.42578125" customWidth="1"/>
    <col min="4" max="4" width="17.42578125" customWidth="1"/>
    <col min="5" max="5" width="16.42578125" style="106" customWidth="1"/>
    <col min="6" max="6" width="15" style="107" customWidth="1"/>
    <col min="7" max="7" width="17.140625" customWidth="1"/>
    <col min="8" max="8" width="22.7109375" customWidth="1"/>
  </cols>
  <sheetData>
    <row r="1" spans="1:8" ht="12.95">
      <c r="A1" s="3" t="s">
        <v>294</v>
      </c>
      <c r="B1" s="4"/>
      <c r="C1" s="4"/>
      <c r="D1" s="4"/>
      <c r="E1" s="20"/>
      <c r="F1" s="6"/>
      <c r="G1" s="4"/>
    </row>
    <row r="2" spans="1:8" ht="12.95">
      <c r="A2" s="7" t="s">
        <v>835</v>
      </c>
      <c r="B2" s="8" t="s">
        <v>883</v>
      </c>
      <c r="C2" s="8" t="s">
        <v>884</v>
      </c>
      <c r="D2" s="8" t="s">
        <v>885</v>
      </c>
      <c r="E2" s="109" t="s">
        <v>299</v>
      </c>
      <c r="F2" s="109" t="s">
        <v>300</v>
      </c>
      <c r="G2" s="8" t="s">
        <v>301</v>
      </c>
      <c r="H2" s="8" t="s">
        <v>52</v>
      </c>
    </row>
    <row r="3" spans="1:8" ht="15.75" customHeight="1">
      <c r="E3"/>
      <c r="F3"/>
    </row>
    <row r="4" spans="1:8" ht="15.75" customHeight="1">
      <c r="E4"/>
      <c r="F4"/>
    </row>
    <row r="5" spans="1:8" ht="15.75" customHeight="1">
      <c r="E5"/>
      <c r="F5"/>
    </row>
    <row r="6" spans="1:8" ht="15.75" customHeight="1">
      <c r="E6"/>
      <c r="F6"/>
    </row>
    <row r="7" spans="1:8" ht="15.75" customHeight="1">
      <c r="E7"/>
      <c r="F7"/>
    </row>
    <row r="8" spans="1:8" ht="15.75" customHeight="1">
      <c r="E8"/>
      <c r="F8"/>
    </row>
    <row r="9" spans="1:8" ht="15.75" customHeight="1">
      <c r="E9"/>
      <c r="F9"/>
    </row>
    <row r="10" spans="1:8" ht="15.75" customHeight="1">
      <c r="E10"/>
      <c r="F10"/>
    </row>
    <row r="11" spans="1:8" ht="15.75" customHeight="1">
      <c r="E11"/>
      <c r="F11"/>
    </row>
    <row r="12" spans="1:8" ht="15.75" customHeight="1">
      <c r="E12"/>
      <c r="F12"/>
    </row>
    <row r="13" spans="1:8" ht="15.75" customHeight="1">
      <c r="E13"/>
      <c r="F13"/>
    </row>
    <row r="14" spans="1:8" ht="15.75" customHeight="1">
      <c r="E14"/>
      <c r="F14"/>
    </row>
    <row r="15" spans="1:8" ht="15.75" customHeight="1">
      <c r="E15"/>
      <c r="F15"/>
    </row>
    <row r="16" spans="1:8" ht="15.75" customHeight="1">
      <c r="E16"/>
      <c r="F16"/>
    </row>
    <row r="17" spans="5:6" ht="15.75" customHeight="1">
      <c r="E17"/>
      <c r="F17"/>
    </row>
    <row r="18" spans="5:6" ht="15.75" customHeight="1">
      <c r="E18"/>
      <c r="F18"/>
    </row>
    <row r="19" spans="5:6" ht="15.75" customHeight="1">
      <c r="E19"/>
      <c r="F19"/>
    </row>
    <row r="20" spans="5:6" ht="15.75" customHeight="1">
      <c r="E20"/>
      <c r="F20"/>
    </row>
    <row r="21" spans="5:6" ht="15.75" customHeight="1">
      <c r="E21"/>
      <c r="F21"/>
    </row>
    <row r="22" spans="5:6" ht="15.75" customHeight="1">
      <c r="E22"/>
      <c r="F22"/>
    </row>
    <row r="23" spans="5:6" ht="15.75" customHeight="1">
      <c r="E23"/>
      <c r="F23"/>
    </row>
    <row r="24" spans="5:6" ht="15.75" customHeight="1">
      <c r="E24"/>
      <c r="F24"/>
    </row>
    <row r="25" spans="5:6" ht="15.75" customHeight="1">
      <c r="E25"/>
      <c r="F25"/>
    </row>
    <row r="26" spans="5:6" ht="15.75" customHeight="1">
      <c r="E26"/>
      <c r="F26"/>
    </row>
    <row r="27" spans="5:6" ht="15.75" customHeight="1">
      <c r="E27"/>
      <c r="F27"/>
    </row>
    <row r="28" spans="5:6" ht="15.75" customHeight="1">
      <c r="E28"/>
      <c r="F28"/>
    </row>
    <row r="29" spans="5:6" ht="15.75" customHeight="1">
      <c r="E29"/>
      <c r="F29"/>
    </row>
    <row r="30" spans="5:6" ht="15.75" customHeight="1">
      <c r="E30"/>
      <c r="F30"/>
    </row>
    <row r="31" spans="5:6" ht="15.75" customHeight="1">
      <c r="E31"/>
      <c r="F31"/>
    </row>
    <row r="32" spans="5:6" ht="15.75" customHeight="1">
      <c r="E32"/>
      <c r="F32"/>
    </row>
    <row r="33" spans="5:6" ht="15.75" customHeight="1">
      <c r="E33"/>
      <c r="F33"/>
    </row>
    <row r="34" spans="5:6" ht="15.75" customHeight="1">
      <c r="E34"/>
      <c r="F34"/>
    </row>
    <row r="35" spans="5:6" ht="15.75" customHeight="1">
      <c r="E35"/>
      <c r="F35"/>
    </row>
    <row r="36" spans="5:6" ht="15.75" customHeight="1">
      <c r="E36"/>
      <c r="F36"/>
    </row>
    <row r="37" spans="5:6" ht="15.75" customHeight="1">
      <c r="E37"/>
      <c r="F37"/>
    </row>
    <row r="38" spans="5:6" ht="15.75" customHeight="1">
      <c r="E38"/>
      <c r="F38"/>
    </row>
    <row r="39" spans="5:6" ht="15.75" customHeight="1">
      <c r="E39"/>
      <c r="F39"/>
    </row>
    <row r="40" spans="5:6" ht="15.75" customHeight="1">
      <c r="E40"/>
      <c r="F40"/>
    </row>
    <row r="41" spans="5:6" ht="15.75" customHeight="1">
      <c r="E41"/>
      <c r="F41"/>
    </row>
    <row r="42" spans="5:6" ht="15.75" customHeight="1">
      <c r="E42"/>
      <c r="F42"/>
    </row>
    <row r="43" spans="5:6" ht="15.75" customHeight="1">
      <c r="E43"/>
      <c r="F43"/>
    </row>
    <row r="44" spans="5:6" ht="15.75" customHeight="1">
      <c r="E44"/>
      <c r="F44"/>
    </row>
    <row r="45" spans="5:6" ht="15.75" customHeight="1">
      <c r="E45"/>
      <c r="F45"/>
    </row>
    <row r="46" spans="5:6" ht="15.75" customHeight="1">
      <c r="E46"/>
      <c r="F46"/>
    </row>
    <row r="47" spans="5:6" ht="15.75" customHeight="1">
      <c r="E47"/>
      <c r="F47"/>
    </row>
    <row r="48" spans="5:6" ht="15.75" customHeight="1">
      <c r="E48"/>
      <c r="F48"/>
    </row>
    <row r="49" spans="5:6" ht="15.75" customHeight="1">
      <c r="E49"/>
      <c r="F49"/>
    </row>
    <row r="50" spans="5:6" ht="15.75" customHeight="1">
      <c r="E50"/>
      <c r="F50"/>
    </row>
    <row r="51" spans="5:6" ht="15.75" customHeight="1">
      <c r="E51"/>
      <c r="F51"/>
    </row>
    <row r="52" spans="5:6" ht="15.75" customHeight="1">
      <c r="E52"/>
      <c r="F52"/>
    </row>
    <row r="53" spans="5:6" ht="15.75" customHeight="1">
      <c r="E53"/>
      <c r="F53"/>
    </row>
    <row r="54" spans="5:6" ht="15.75" customHeight="1">
      <c r="E54"/>
      <c r="F54"/>
    </row>
    <row r="55" spans="5:6" ht="15.75" customHeight="1">
      <c r="E55"/>
      <c r="F55"/>
    </row>
    <row r="56" spans="5:6" ht="15.75" customHeight="1">
      <c r="E56"/>
      <c r="F56"/>
    </row>
    <row r="57" spans="5:6" ht="15.75" customHeight="1">
      <c r="E57"/>
      <c r="F57"/>
    </row>
    <row r="58" spans="5:6" ht="15.75" customHeight="1">
      <c r="E58"/>
      <c r="F58"/>
    </row>
    <row r="59" spans="5:6" ht="15.75" customHeight="1">
      <c r="E59"/>
      <c r="F59"/>
    </row>
    <row r="60" spans="5:6" ht="15.75" customHeight="1">
      <c r="E60"/>
      <c r="F60"/>
    </row>
    <row r="61" spans="5:6" ht="15.75" customHeight="1">
      <c r="E61"/>
      <c r="F61"/>
    </row>
    <row r="62" spans="5:6" ht="15.75" customHeight="1">
      <c r="E62"/>
      <c r="F62"/>
    </row>
    <row r="63" spans="5:6" ht="15.75" customHeight="1">
      <c r="E63"/>
      <c r="F63"/>
    </row>
    <row r="64" spans="5:6" ht="15.75" customHeight="1">
      <c r="E64"/>
      <c r="F64"/>
    </row>
    <row r="65" spans="5:6" ht="15.75" customHeight="1">
      <c r="E65"/>
      <c r="F65"/>
    </row>
    <row r="66" spans="5:6" ht="15.75" customHeight="1">
      <c r="E66"/>
      <c r="F66"/>
    </row>
    <row r="67" spans="5:6" ht="15.75" customHeight="1">
      <c r="E67"/>
      <c r="F67"/>
    </row>
    <row r="68" spans="5:6" ht="15.75" customHeight="1">
      <c r="E68"/>
      <c r="F68"/>
    </row>
    <row r="69" spans="5:6" ht="15.75" customHeight="1">
      <c r="E69"/>
      <c r="F69"/>
    </row>
    <row r="70" spans="5:6" ht="15.75" customHeight="1">
      <c r="E70"/>
      <c r="F70"/>
    </row>
    <row r="71" spans="5:6" ht="15.75" customHeight="1">
      <c r="E71"/>
      <c r="F71"/>
    </row>
    <row r="72" spans="5:6" ht="15.75" customHeight="1">
      <c r="E72"/>
      <c r="F72"/>
    </row>
    <row r="73" spans="5:6" ht="15.75" customHeight="1">
      <c r="E73"/>
      <c r="F73"/>
    </row>
    <row r="74" spans="5:6" ht="15.75" customHeight="1">
      <c r="E74"/>
      <c r="F74"/>
    </row>
    <row r="75" spans="5:6" ht="15.75" customHeight="1">
      <c r="E75"/>
      <c r="F75"/>
    </row>
    <row r="76" spans="5:6" ht="15.75" customHeight="1">
      <c r="E76"/>
      <c r="F76"/>
    </row>
    <row r="77" spans="5:6" ht="15.75" customHeight="1">
      <c r="E77"/>
      <c r="F77"/>
    </row>
    <row r="78" spans="5:6" ht="15.75" customHeight="1">
      <c r="E78"/>
      <c r="F78"/>
    </row>
    <row r="79" spans="5:6" ht="15.75" customHeight="1">
      <c r="E79"/>
      <c r="F79"/>
    </row>
    <row r="80" spans="5:6" ht="15.75" customHeight="1">
      <c r="E80"/>
      <c r="F80"/>
    </row>
    <row r="81" spans="5:6" ht="15.75" customHeight="1">
      <c r="E81"/>
      <c r="F81"/>
    </row>
    <row r="82" spans="5:6" ht="15.75" customHeight="1">
      <c r="E82"/>
      <c r="F82"/>
    </row>
    <row r="83" spans="5:6" ht="15.75" customHeight="1">
      <c r="E83"/>
      <c r="F83"/>
    </row>
    <row r="84" spans="5:6" ht="15.75" customHeight="1">
      <c r="E84"/>
      <c r="F84"/>
    </row>
    <row r="85" spans="5:6" ht="15.75" customHeight="1">
      <c r="E85"/>
      <c r="F85"/>
    </row>
    <row r="86" spans="5:6" ht="15.75" customHeight="1">
      <c r="E86"/>
      <c r="F86"/>
    </row>
    <row r="87" spans="5:6" ht="15.75" customHeight="1">
      <c r="E87"/>
      <c r="F87"/>
    </row>
    <row r="88" spans="5:6" ht="15.75" customHeight="1">
      <c r="E88"/>
      <c r="F88"/>
    </row>
    <row r="89" spans="5:6" ht="15.75" customHeight="1">
      <c r="E89"/>
      <c r="F89"/>
    </row>
    <row r="90" spans="5:6" ht="15.75" customHeight="1">
      <c r="E90"/>
      <c r="F90"/>
    </row>
    <row r="91" spans="5:6" ht="15.75" customHeight="1">
      <c r="E91"/>
      <c r="F91"/>
    </row>
    <row r="92" spans="5:6" ht="15.75" customHeight="1">
      <c r="E92"/>
      <c r="F92"/>
    </row>
    <row r="93" spans="5:6" ht="15.75" customHeight="1">
      <c r="E93"/>
      <c r="F93"/>
    </row>
    <row r="94" spans="5:6" ht="15.75" customHeight="1">
      <c r="E94"/>
      <c r="F94"/>
    </row>
    <row r="95" spans="5:6" ht="15.75" customHeight="1">
      <c r="E95"/>
      <c r="F95"/>
    </row>
    <row r="96" spans="5:6" ht="15.75" customHeight="1">
      <c r="E96"/>
      <c r="F96"/>
    </row>
    <row r="97" spans="5:6" ht="15.75" customHeight="1">
      <c r="E97"/>
      <c r="F97"/>
    </row>
    <row r="98" spans="5:6" ht="15.75" customHeight="1">
      <c r="E98"/>
      <c r="F98"/>
    </row>
    <row r="99" spans="5:6" ht="15.75" customHeight="1">
      <c r="E99"/>
      <c r="F99"/>
    </row>
    <row r="100" spans="5:6" ht="15.75" customHeight="1">
      <c r="E100"/>
      <c r="F100"/>
    </row>
    <row r="101" spans="5:6" ht="15.75" customHeight="1">
      <c r="E101"/>
      <c r="F101"/>
    </row>
    <row r="102" spans="5:6" ht="15.75" customHeight="1">
      <c r="E102"/>
      <c r="F102"/>
    </row>
    <row r="103" spans="5:6" ht="15.75" customHeight="1">
      <c r="E103"/>
      <c r="F103"/>
    </row>
    <row r="104" spans="5:6" ht="15.75" customHeight="1">
      <c r="E104"/>
      <c r="F104"/>
    </row>
    <row r="105" spans="5:6" ht="15.75" customHeight="1">
      <c r="E105"/>
      <c r="F105"/>
    </row>
    <row r="106" spans="5:6" ht="15.75" customHeight="1">
      <c r="E106"/>
      <c r="F106"/>
    </row>
    <row r="107" spans="5:6" ht="15.75" customHeight="1">
      <c r="E107"/>
      <c r="F107"/>
    </row>
    <row r="108" spans="5:6" ht="15.75" customHeight="1">
      <c r="E108"/>
      <c r="F108"/>
    </row>
    <row r="109" spans="5:6" ht="15.75" customHeight="1">
      <c r="E109"/>
      <c r="F109"/>
    </row>
    <row r="110" spans="5:6" ht="15.75" customHeight="1">
      <c r="E110"/>
      <c r="F110"/>
    </row>
    <row r="111" spans="5:6" ht="15.75" customHeight="1">
      <c r="E111"/>
      <c r="F111"/>
    </row>
    <row r="112" spans="5:6" ht="15.75" customHeight="1">
      <c r="E112"/>
      <c r="F112"/>
    </row>
    <row r="113" spans="5:6" ht="15.75" customHeight="1">
      <c r="E113"/>
      <c r="F113"/>
    </row>
    <row r="114" spans="5:6" ht="15.75" customHeight="1">
      <c r="E114"/>
      <c r="F114"/>
    </row>
    <row r="115" spans="5:6" ht="15.75" customHeight="1">
      <c r="E115"/>
      <c r="F115"/>
    </row>
  </sheetData>
  <pageMargins left="0" right="0" top="0" bottom="0" header="0" footer="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0D04-2CF8-C540-8F78-A70527AD1005}">
  <dimension ref="A1:F26"/>
  <sheetViews>
    <sheetView workbookViewId="0">
      <selection activeCell="A2" sqref="A2"/>
    </sheetView>
  </sheetViews>
  <sheetFormatPr defaultColWidth="11.42578125" defaultRowHeight="12.6"/>
  <cols>
    <col min="1" max="1" width="17.42578125" customWidth="1"/>
    <col min="2" max="2" width="50.28515625" style="27" customWidth="1"/>
    <col min="3" max="3" width="21.42578125" customWidth="1"/>
    <col min="4" max="4" width="17.28515625" customWidth="1"/>
    <col min="5" max="5" width="21.28515625" customWidth="1"/>
    <col min="6" max="6" width="42.42578125" customWidth="1"/>
  </cols>
  <sheetData>
    <row r="1" spans="1:6" ht="26.1">
      <c r="A1" s="81" t="s">
        <v>295</v>
      </c>
      <c r="B1" s="81" t="s">
        <v>611</v>
      </c>
      <c r="C1" s="81" t="s">
        <v>612</v>
      </c>
      <c r="D1" s="82" t="s">
        <v>881</v>
      </c>
      <c r="E1" s="82" t="s">
        <v>614</v>
      </c>
      <c r="F1" s="81" t="s">
        <v>882</v>
      </c>
    </row>
    <row r="2" spans="1:6" ht="12.75">
      <c r="E2" s="11"/>
    </row>
    <row r="3" spans="1:6" ht="12.75"/>
    <row r="4" spans="1:6" ht="12.75">
      <c r="B4"/>
    </row>
    <row r="5" spans="1:6" ht="12.75">
      <c r="E5" s="14"/>
    </row>
    <row r="6" spans="1:6" ht="12.75">
      <c r="B6"/>
    </row>
    <row r="7" spans="1:6" ht="12.75"/>
    <row r="8" spans="1:6" ht="12.75"/>
    <row r="9" spans="1:6" ht="12.75"/>
    <row r="10" spans="1:6" ht="12.75">
      <c r="D10" s="11"/>
      <c r="F10" s="11"/>
    </row>
    <row r="11" spans="1:6" ht="12.75">
      <c r="D11" s="11"/>
    </row>
    <row r="12" spans="1:6" ht="12.75">
      <c r="B12"/>
    </row>
    <row r="13" spans="1:6" ht="12.75">
      <c r="B13"/>
      <c r="C13" s="11"/>
      <c r="D13" s="11"/>
      <c r="E13" s="11"/>
    </row>
    <row r="14" spans="1:6" ht="12.75">
      <c r="B14"/>
      <c r="C14" s="11"/>
      <c r="D14" s="11"/>
      <c r="E14" s="11"/>
    </row>
    <row r="15" spans="1:6" ht="12.75">
      <c r="B15"/>
    </row>
    <row r="16" spans="1:6">
      <c r="B16"/>
    </row>
    <row r="17" spans="2:5" ht="12.75">
      <c r="B17"/>
    </row>
    <row r="19" spans="2:5" ht="12.75"/>
    <row r="20" spans="2:5">
      <c r="B20"/>
    </row>
    <row r="21" spans="2:5" ht="12.75"/>
    <row r="22" spans="2:5" ht="12.75"/>
    <row r="23" spans="2:5" ht="12.75">
      <c r="E23" s="11"/>
    </row>
    <row r="24" spans="2:5" ht="12.75">
      <c r="B24"/>
    </row>
    <row r="25" spans="2:5" ht="12.75">
      <c r="B25"/>
    </row>
    <row r="26" spans="2:5" ht="12.75">
      <c r="B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6BCE24181E4F4899B69EABDD3215C8" ma:contentTypeVersion="12" ma:contentTypeDescription="Crée un document." ma:contentTypeScope="" ma:versionID="958b2e4d1aab00fc5e068eca3f5b81c6">
  <xsd:schema xmlns:xsd="http://www.w3.org/2001/XMLSchema" xmlns:xs="http://www.w3.org/2001/XMLSchema" xmlns:p="http://schemas.microsoft.com/office/2006/metadata/properties" xmlns:ns2="f74e1a18-05be-4c1f-b954-2c18d50da975" xmlns:ns3="04fe0146-d4cf-4b18-a687-3b40af0657c7" targetNamespace="http://schemas.microsoft.com/office/2006/metadata/properties" ma:root="true" ma:fieldsID="a63e4656b24f4ae3bafe1b68fb2e6f2d" ns2:_="" ns3:_="">
    <xsd:import namespace="f74e1a18-05be-4c1f-b954-2c18d50da975"/>
    <xsd:import namespace="04fe0146-d4cf-4b18-a687-3b40af0657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4e1a18-05be-4c1f-b954-2c18d50da9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e5965820-1b97-4994-ad5a-2b1f2cea3fc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fe0146-d4cf-4b18-a687-3b40af0657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88aab80-3944-46ee-ae1a-404b72520f52}" ma:internalName="TaxCatchAll" ma:showField="CatchAllData" ma:web="04fe0146-d4cf-4b18-a687-3b40af0657c7">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4e1a18-05be-4c1f-b954-2c18d50da975">
      <Terms xmlns="http://schemas.microsoft.com/office/infopath/2007/PartnerControls"/>
    </lcf76f155ced4ddcb4097134ff3c332f>
    <TaxCatchAll xmlns="04fe0146-d4cf-4b18-a687-3b40af0657c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52F010-E863-4B35-A45B-C620BDEBEB36}"/>
</file>

<file path=customXml/itemProps2.xml><?xml version="1.0" encoding="utf-8"?>
<ds:datastoreItem xmlns:ds="http://schemas.openxmlformats.org/officeDocument/2006/customXml" ds:itemID="{83B1B18A-5BFF-4AC1-9B5C-EB5AD3ECCAE5}"/>
</file>

<file path=customXml/itemProps3.xml><?xml version="1.0" encoding="utf-8"?>
<ds:datastoreItem xmlns:ds="http://schemas.openxmlformats.org/officeDocument/2006/customXml" ds:itemID="{4E9C89F9-0606-4C88-BD77-95D1D8F19D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Keller Linda</cp:lastModifiedBy>
  <cp:revision/>
  <dcterms:created xsi:type="dcterms:W3CDTF">2024-10-01T14:11:19Z</dcterms:created>
  <dcterms:modified xsi:type="dcterms:W3CDTF">2025-01-11T12:24:50Z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0x010100E56BCE24181E4F4899B69EABDD3215C8</vt:lpwstr>
  </property>
  <property fmtid="{D5CDD505-2E9C-101B-9397-08002B2CF9AE}" pid="3" name="MediaServiceImageTags">
    <vt:lpwstr/>
  </property>
</Properties>
</file>